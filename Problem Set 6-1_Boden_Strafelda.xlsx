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10"/>
  <workbookPr defaultThemeVersion="166925"/>
  <mc:AlternateContent xmlns:mc="http://schemas.openxmlformats.org/markup-compatibility/2006">
    <mc:Choice Requires="x15">
      <x15ac:absPath xmlns:x15ac="http://schemas.microsoft.com/office/spreadsheetml/2010/11/ac" url="/Users/strafelda/Desktop/"/>
    </mc:Choice>
  </mc:AlternateContent>
  <xr:revisionPtr revIDLastSave="0" documentId="13_ncr:1_{28D3DAE6-11BE-934C-933B-83ED13B1BD32}" xr6:coauthVersionLast="47" xr6:coauthVersionMax="47" xr10:uidLastSave="{00000000-0000-0000-0000-000000000000}"/>
  <bookViews>
    <workbookView minimized="1" xWindow="0" yWindow="740" windowWidth="29040" windowHeight="15720" xr2:uid="{6C081BF3-749E-4279-A6AB-41BC87797E55}"/>
  </bookViews>
  <sheets>
    <sheet name="Question 1" sheetId="9" r:id="rId1"/>
    <sheet name="Question 2" sheetId="10"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10" i="10" l="1"/>
  <c r="V6" i="10"/>
</calcChain>
</file>

<file path=xl/sharedStrings.xml><?xml version="1.0" encoding="utf-8"?>
<sst xmlns="http://schemas.openxmlformats.org/spreadsheetml/2006/main" count="79" uniqueCount="48">
  <si>
    <t>Model</t>
  </si>
  <si>
    <t>Weight</t>
  </si>
  <si>
    <t>Price</t>
  </si>
  <si>
    <t>Fierro 7B</t>
  </si>
  <si>
    <t>HX 5000</t>
  </si>
  <si>
    <t>Durbin Ultralight</t>
  </si>
  <si>
    <t>Schmidt</t>
  </si>
  <si>
    <t>WSilton Advanced</t>
  </si>
  <si>
    <t>bicyclette vélo</t>
  </si>
  <si>
    <t>Supremo Team</t>
  </si>
  <si>
    <t>XTC Racer</t>
  </si>
  <si>
    <t>D’Onofrio Pro</t>
  </si>
  <si>
    <t>Americana #6</t>
  </si>
  <si>
    <t>Risk</t>
  </si>
  <si>
    <t>Age</t>
  </si>
  <si>
    <t>Blood Pressure</t>
  </si>
  <si>
    <t>Smoker</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</si>
  <si>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</si>
  <si>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</si>
  <si>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</si>
  <si>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</si>
  <si>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</si>
  <si>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</si>
  <si>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</si>
  <si>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</si>
  <si>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</si>
  <si>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</si>
  <si>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</si>
  <si>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</si>
  <si>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</si>
  <si>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</si>
  <si>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</si>
  <si>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</si>
  <si>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</si>
  <si>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</si>
  <si>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</si>
  <si>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</si>
  <si>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</si>
  <si>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</si>
  <si>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</si>
  <si>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</si>
  <si>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</si>
  <si>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RESIDUAL OUTPUT</t>
  </si>
  <si>
    <t>Observation</t>
  </si>
  <si>
    <t>Predicted Y</t>
  </si>
  <si>
    <t>Residuals</t>
  </si>
  <si>
    <t>X Variable 2</t>
  </si>
  <si>
    <t>X Variable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</si>
</sst>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sz val="10"/>
      <name val="Geneva"/>
      <family val="2"/>
    </font>
    <font>
      <sz val="12"/>
      <name val="Times New Roman"/>
      <family val="1"/>
    </font>
    <font>
      <b/>
      <sz val="12"/>
      <color theme="1"/>
      <name val="Times New Roman"/>
      <family val="1"/>
    </font>
    <font>
      <sz val="12"/>
      <color rgb="FF000000"/>
      <name val="Times New Roman"/>
      <family val="1"/>
    </font>
    <font>
      <sz val="12"/>
      <color theme="1"/>
      <name val="Times New Roman"/>
      <family val="1"/>
    </font>
    <font>
      <i/>
      <sz val="11"/>
      <color theme="1"/>
      <name val="Calibri"/>
      <family val="2"/>
      <scheme val="minor"/>
    </font>
  </fonts>
  <fills count="2">
    <fill>
      <patternFill patternType="none"/>
    </fill>
    <fill>
      <patternFill patternType="gray125"/>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3">
    <xf numFmtId="0" fontId="0" fillId="0" borderId="0"/>
    <xf numFmtId="0" fontId="1" fillId="0" borderId="0"/>
    <xf numFmtId="0" fontId="2" fillId="0" borderId="0"/>
  </cellStyleXfs>
  <cellXfs count="10">
    <xf numFmtId="0" fontId="0" fillId="0" borderId="0" xfId="0"/>
    <xf numFmtId="0" fontId="3" fillId="0" borderId="0" xfId="0" applyFont="1" applyAlignment="1">
      <alignment vertical="center" wrapText="1"/>
    </xf>
    <xf numFmtId="0" fontId="3" fillId="0" borderId="0" xfId="0" applyFont="1" applyAlignment="1">
      <alignment horizontal="center" vertical="center" wrapText="1"/>
    </xf>
    <xf numFmtId="0" fontId="4" fillId="0" borderId="0" xfId="0" applyFont="1" applyAlignment="1">
      <alignment vertical="center" wrapText="1"/>
    </xf>
    <xf numFmtId="0" fontId="4" fillId="0" borderId="0" xfId="0" applyFont="1" applyAlignment="1">
      <alignment horizontal="center" vertical="center" wrapText="1"/>
    </xf>
    <xf numFmtId="164" fontId="4" fillId="0" borderId="0" xfId="0" applyNumberFormat="1" applyFont="1" applyAlignment="1">
      <alignment horizontal="center" vertical="center" wrapText="1"/>
    </xf>
    <xf numFmtId="0" fontId="5" fillId="0" borderId="0" xfId="0" applyFont="1" applyAlignment="1">
      <alignment horizontal="center" vertical="center" wrapText="1"/>
    </xf>
    <xf numFmtId="0" fontId="0" fillId="0" borderId="1" xfId="0" applyBorder="1"/>
    <xf numFmtId="0" fontId="6" fillId="0" borderId="2" xfId="0" applyFont="1" applyBorder="1" applyAlignment="1">
      <alignment horizontal="center"/>
    </xf>
    <xf numFmtId="0" fontId="6" fillId="0" borderId="2" xfId="0" applyFont="1" applyBorder="1" applyAlignment="1">
      <alignment horizontal="centerContinuous"/>
    </xf>
  </cellXfs>
  <cellStyles count="3">
    <cellStyle name="Normal" xfId="0" builtinId="0"/>
    <cellStyle name="Normal 2" xfId="1" xr:uid="{00000000-0005-0000-0000-00002F000000}"/>
    <cellStyle name="Normal 3" xfId="2" xr:uid="{00000000-0005-0000-0000-00003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'Question 1'!$C$1</c:f>
              <c:strCache>
                <c:ptCount val="1"/>
                <c:pt idx="0">
                  <c:v>Price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'Question 1'!$B$2:$B$11</c:f>
              <c:numCache>
                <c:formatCode>0.0</c:formatCode>
                <c:ptCount val="10"/>
                <c:pt idx="0">
                  <c:v>17.899999999999999</c:v>
                </c:pt>
                <c:pt idx="1">
                  <c:v>16.2</c:v>
                </c:pt>
                <c:pt idx="2">
                  <c:v>15</c:v>
                </c:pt>
                <c:pt idx="3">
                  <c:v>16</c:v>
                </c:pt>
                <c:pt idx="4">
                  <c:v>17.3</c:v>
                </c:pt>
                <c:pt idx="5">
                  <c:v>13.2</c:v>
                </c:pt>
                <c:pt idx="6">
                  <c:v>16.3</c:v>
                </c:pt>
                <c:pt idx="7">
                  <c:v>17.2</c:v>
                </c:pt>
                <c:pt idx="8">
                  <c:v>17.7</c:v>
                </c:pt>
                <c:pt idx="9">
                  <c:v>14.2</c:v>
                </c:pt>
              </c:numCache>
            </c:numRef>
          </c:xVal>
          <c:yVal>
            <c:numRef>
              <c:f>'Question 1'!$C$2:$C$11</c:f>
              <c:numCache>
                <c:formatCode>General</c:formatCode>
                <c:ptCount val="10"/>
                <c:pt idx="0">
                  <c:v>2200</c:v>
                </c:pt>
                <c:pt idx="1">
                  <c:v>6350</c:v>
                </c:pt>
                <c:pt idx="2">
                  <c:v>8470</c:v>
                </c:pt>
                <c:pt idx="3">
                  <c:v>6300</c:v>
                </c:pt>
                <c:pt idx="4">
                  <c:v>4100</c:v>
                </c:pt>
                <c:pt idx="5">
                  <c:v>8700</c:v>
                </c:pt>
                <c:pt idx="6">
                  <c:v>6100</c:v>
                </c:pt>
                <c:pt idx="7">
                  <c:v>2680</c:v>
                </c:pt>
                <c:pt idx="8">
                  <c:v>3500</c:v>
                </c:pt>
                <c:pt idx="9">
                  <c:v>8100</c:v>
                </c:pt>
              </c:numCache>
            </c:numRef>
          </c:yVal>
          <c:smooth val="0"/>
          <c:extLst>
            <c:ext xmlns:c16="http://schemas.microsoft.com/office/drawing/2014/chart" uri="{C3380CC4-5D6E-409C-BE32-E72D297353CC}">
              <c16:uniqueId val="{00000000-D75F-604A-8C20-6120451D3682}"/>
            </c:ext>
          </c:extLst>
        </c:ser>
        <c:dLbls>
          <c:showLegendKey val="0"/>
          <c:showVal val="0"/>
          <c:showCatName val="0"/>
          <c:showSerName val="0"/>
          <c:showPercent val="0"/>
          <c:showBubbleSize val="0"/>
        </c:dLbls>
        <c:axId val="1363858176"/>
        <c:axId val="1165574240"/>
      </c:scatterChart>
      <c:valAx>
        <c:axId val="1363858176"/>
        <c:scaling>
          <c:orientation val="minMax"/>
          <c:min val="12"/>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574240"/>
        <c:crosses val="autoZero"/>
        <c:crossBetween val="midCat"/>
      </c:valAx>
      <c:valAx>
        <c:axId val="1165574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8581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X Variable 1  Residual Plot</a:t>
            </a:r>
          </a:p>
        </c:rich>
      </c:tx>
      <c:overlay val="0"/>
    </c:title>
    <c:autoTitleDeleted val="0"/>
    <c:plotArea>
      <c:layout>
        <c:manualLayout>
          <c:layoutTarget val="inner"/>
          <c:xMode val="edge"/>
          <c:yMode val="edge"/>
          <c:x val="0.17778051181102361"/>
          <c:y val="0.2725230508751173"/>
          <c:w val="0.74688021951801475"/>
          <c:h val="0.55775519154665254"/>
        </c:manualLayout>
      </c:layout>
      <c:scatterChart>
        <c:scatterStyle val="lineMarker"/>
        <c:varyColors val="0"/>
        <c:ser>
          <c:idx val="0"/>
          <c:order val="0"/>
          <c:spPr>
            <a:ln w="19050">
              <a:noFill/>
            </a:ln>
          </c:spPr>
          <c:xVal>
            <c:numRef>
              <c:f>'Question 1'!$B$2:$B$11</c:f>
              <c:numCache>
                <c:formatCode>0.0</c:formatCode>
                <c:ptCount val="10"/>
                <c:pt idx="0">
                  <c:v>17.899999999999999</c:v>
                </c:pt>
                <c:pt idx="1">
                  <c:v>16.2</c:v>
                </c:pt>
                <c:pt idx="2">
                  <c:v>15</c:v>
                </c:pt>
                <c:pt idx="3">
                  <c:v>16</c:v>
                </c:pt>
                <c:pt idx="4">
                  <c:v>17.3</c:v>
                </c:pt>
                <c:pt idx="5">
                  <c:v>13.2</c:v>
                </c:pt>
                <c:pt idx="6">
                  <c:v>16.3</c:v>
                </c:pt>
                <c:pt idx="7">
                  <c:v>17.2</c:v>
                </c:pt>
                <c:pt idx="8">
                  <c:v>17.7</c:v>
                </c:pt>
                <c:pt idx="9">
                  <c:v>14.2</c:v>
                </c:pt>
              </c:numCache>
            </c:numRef>
          </c:xVal>
          <c:yVal>
            <c:numRef>
              <c:f>'Question 1'!$C$38:$C$47</c:f>
              <c:numCache>
                <c:formatCode>General</c:formatCode>
                <c:ptCount val="10"/>
                <c:pt idx="0">
                  <c:v>-859.78840846366029</c:v>
                </c:pt>
                <c:pt idx="1">
                  <c:v>843.9006439742443</c:v>
                </c:pt>
                <c:pt idx="2">
                  <c:v>1237.0929162833527</c:v>
                </c:pt>
                <c:pt idx="3">
                  <c:v>506.09935602576297</c:v>
                </c:pt>
                <c:pt idx="4">
                  <c:v>176.80772769089663</c:v>
                </c:pt>
                <c:pt idx="5">
                  <c:v>-1123.1186752529848</c:v>
                </c:pt>
                <c:pt idx="6">
                  <c:v>737.80128794848679</c:v>
                </c:pt>
                <c:pt idx="7">
                  <c:v>-1387.0929162833463</c:v>
                </c:pt>
                <c:pt idx="8">
                  <c:v>152.41030358785883</c:v>
                </c:pt>
                <c:pt idx="9">
                  <c:v>-284.11223551057628</c:v>
                </c:pt>
              </c:numCache>
            </c:numRef>
          </c:yVal>
          <c:smooth val="0"/>
          <c:extLst>
            <c:ext xmlns:c16="http://schemas.microsoft.com/office/drawing/2014/chart" uri="{C3380CC4-5D6E-409C-BE32-E72D297353CC}">
              <c16:uniqueId val="{00000001-1332-8943-A05A-434F48C5C4AD}"/>
            </c:ext>
          </c:extLst>
        </c:ser>
        <c:dLbls>
          <c:showLegendKey val="0"/>
          <c:showVal val="0"/>
          <c:showCatName val="0"/>
          <c:showSerName val="0"/>
          <c:showPercent val="0"/>
          <c:showBubbleSize val="0"/>
        </c:dLbls>
        <c:axId val="1637171824"/>
        <c:axId val="1637089472"/>
      </c:scatterChart>
      <c:valAx>
        <c:axId val="1637171824"/>
        <c:scaling>
          <c:orientation val="minMax"/>
        </c:scaling>
        <c:delete val="0"/>
        <c:axPos val="b"/>
        <c:title>
          <c:tx>
            <c:rich>
              <a:bodyPr/>
              <a:lstStyle/>
              <a:p>
                <a:pPr>
                  <a:defRPr/>
                </a:pPr>
                <a:r>
                  <a:rPr lang="en-US"/>
                  <a:t>X Variable 1</a:t>
                </a:r>
              </a:p>
            </c:rich>
          </c:tx>
          <c:overlay val="0"/>
        </c:title>
        <c:numFmt formatCode="0.0" sourceLinked="1"/>
        <c:majorTickMark val="out"/>
        <c:minorTickMark val="none"/>
        <c:tickLblPos val="nextTo"/>
        <c:crossAx val="1637089472"/>
        <c:crosses val="autoZero"/>
        <c:crossBetween val="midCat"/>
      </c:valAx>
      <c:valAx>
        <c:axId val="1637089472"/>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637171824"/>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1504364511254279"/>
          <c:y val="7.2282029199475045E-2"/>
          <c:w val="0.5893367732442536"/>
          <c:h val="0.76462126804461938"/>
        </c:manualLayout>
      </c:layout>
      <c:scatterChart>
        <c:scatterStyle val="lineMarker"/>
        <c:varyColors val="0"/>
        <c:ser>
          <c:idx val="0"/>
          <c:order val="0"/>
          <c:tx>
            <c:v>Y</c:v>
          </c:tx>
          <c:spPr>
            <a:ln w="19050">
              <a:noFill/>
            </a:ln>
          </c:spPr>
          <c:xVal>
            <c:numRef>
              <c:f>'Question 1'!$B$2:$B$11</c:f>
              <c:numCache>
                <c:formatCode>0.0</c:formatCode>
                <c:ptCount val="10"/>
                <c:pt idx="0">
                  <c:v>17.899999999999999</c:v>
                </c:pt>
                <c:pt idx="1">
                  <c:v>16.2</c:v>
                </c:pt>
                <c:pt idx="2">
                  <c:v>15</c:v>
                </c:pt>
                <c:pt idx="3">
                  <c:v>16</c:v>
                </c:pt>
                <c:pt idx="4">
                  <c:v>17.3</c:v>
                </c:pt>
                <c:pt idx="5">
                  <c:v>13.2</c:v>
                </c:pt>
                <c:pt idx="6">
                  <c:v>16.3</c:v>
                </c:pt>
                <c:pt idx="7">
                  <c:v>17.2</c:v>
                </c:pt>
                <c:pt idx="8">
                  <c:v>17.7</c:v>
                </c:pt>
                <c:pt idx="9">
                  <c:v>14.2</c:v>
                </c:pt>
              </c:numCache>
            </c:numRef>
          </c:xVal>
          <c:yVal>
            <c:numRef>
              <c:f>'Question 1'!$C$2:$C$11</c:f>
              <c:numCache>
                <c:formatCode>General</c:formatCode>
                <c:ptCount val="10"/>
                <c:pt idx="0">
                  <c:v>2200</c:v>
                </c:pt>
                <c:pt idx="1">
                  <c:v>6350</c:v>
                </c:pt>
                <c:pt idx="2">
                  <c:v>8470</c:v>
                </c:pt>
                <c:pt idx="3">
                  <c:v>6300</c:v>
                </c:pt>
                <c:pt idx="4">
                  <c:v>4100</c:v>
                </c:pt>
                <c:pt idx="5">
                  <c:v>8700</c:v>
                </c:pt>
                <c:pt idx="6">
                  <c:v>6100</c:v>
                </c:pt>
                <c:pt idx="7">
                  <c:v>2680</c:v>
                </c:pt>
                <c:pt idx="8">
                  <c:v>3500</c:v>
                </c:pt>
                <c:pt idx="9">
                  <c:v>8100</c:v>
                </c:pt>
              </c:numCache>
            </c:numRef>
          </c:yVal>
          <c:smooth val="0"/>
          <c:extLst>
            <c:ext xmlns:c16="http://schemas.microsoft.com/office/drawing/2014/chart" uri="{C3380CC4-5D6E-409C-BE32-E72D297353CC}">
              <c16:uniqueId val="{00000001-1CFC-6B45-8149-99A9C02CE6E8}"/>
            </c:ext>
          </c:extLst>
        </c:ser>
        <c:ser>
          <c:idx val="1"/>
          <c:order val="1"/>
          <c:tx>
            <c:v>Predicted Y</c:v>
          </c:tx>
          <c:spPr>
            <a:ln w="19050">
              <a:noFill/>
            </a:ln>
          </c:spPr>
          <c:xVal>
            <c:numRef>
              <c:f>'Question 1'!$B$2:$B$11</c:f>
              <c:numCache>
                <c:formatCode>0.0</c:formatCode>
                <c:ptCount val="10"/>
                <c:pt idx="0">
                  <c:v>17.899999999999999</c:v>
                </c:pt>
                <c:pt idx="1">
                  <c:v>16.2</c:v>
                </c:pt>
                <c:pt idx="2">
                  <c:v>15</c:v>
                </c:pt>
                <c:pt idx="3">
                  <c:v>16</c:v>
                </c:pt>
                <c:pt idx="4">
                  <c:v>17.3</c:v>
                </c:pt>
                <c:pt idx="5">
                  <c:v>13.2</c:v>
                </c:pt>
                <c:pt idx="6">
                  <c:v>16.3</c:v>
                </c:pt>
                <c:pt idx="7">
                  <c:v>17.2</c:v>
                </c:pt>
                <c:pt idx="8">
                  <c:v>17.7</c:v>
                </c:pt>
                <c:pt idx="9">
                  <c:v>14.2</c:v>
                </c:pt>
              </c:numCache>
            </c:numRef>
          </c:xVal>
          <c:yVal>
            <c:numRef>
              <c:f>'Question 1'!$B$38:$B$47</c:f>
              <c:numCache>
                <c:formatCode>General</c:formatCode>
                <c:ptCount val="10"/>
                <c:pt idx="0">
                  <c:v>3059.7884084636603</c:v>
                </c:pt>
                <c:pt idx="1">
                  <c:v>5506.0993560257557</c:v>
                </c:pt>
                <c:pt idx="2">
                  <c:v>7232.9070837166473</c:v>
                </c:pt>
                <c:pt idx="3">
                  <c:v>5793.900643974237</c:v>
                </c:pt>
                <c:pt idx="4">
                  <c:v>3923.1922723091034</c:v>
                </c:pt>
                <c:pt idx="5">
                  <c:v>9823.1186752529848</c:v>
                </c:pt>
                <c:pt idx="6">
                  <c:v>5362.1987120515132</c:v>
                </c:pt>
                <c:pt idx="7">
                  <c:v>4067.0929162833463</c:v>
                </c:pt>
                <c:pt idx="8">
                  <c:v>3347.5896964121412</c:v>
                </c:pt>
                <c:pt idx="9">
                  <c:v>8384.1122355105763</c:v>
                </c:pt>
              </c:numCache>
            </c:numRef>
          </c:yVal>
          <c:smooth val="0"/>
          <c:extLst>
            <c:ext xmlns:c16="http://schemas.microsoft.com/office/drawing/2014/chart" uri="{C3380CC4-5D6E-409C-BE32-E72D297353CC}">
              <c16:uniqueId val="{00000002-1CFC-6B45-8149-99A9C02CE6E8}"/>
            </c:ext>
          </c:extLst>
        </c:ser>
        <c:dLbls>
          <c:showLegendKey val="0"/>
          <c:showVal val="0"/>
          <c:showCatName val="0"/>
          <c:showSerName val="0"/>
          <c:showPercent val="0"/>
          <c:showBubbleSize val="0"/>
        </c:dLbls>
        <c:axId val="1637029968"/>
        <c:axId val="1637039552"/>
      </c:scatterChart>
      <c:valAx>
        <c:axId val="1637029968"/>
        <c:scaling>
          <c:orientation val="minMax"/>
        </c:scaling>
        <c:delete val="0"/>
        <c:axPos val="b"/>
        <c:numFmt formatCode="0.0" sourceLinked="1"/>
        <c:majorTickMark val="out"/>
        <c:minorTickMark val="none"/>
        <c:tickLblPos val="nextTo"/>
        <c:crossAx val="1637039552"/>
        <c:crosses val="autoZero"/>
        <c:crossBetween val="midCat"/>
      </c:valAx>
      <c:valAx>
        <c:axId val="1637039552"/>
        <c:scaling>
          <c:orientation val="minMax"/>
        </c:scaling>
        <c:delete val="0"/>
        <c:axPos val="l"/>
        <c:numFmt formatCode="General" sourceLinked="1"/>
        <c:majorTickMark val="out"/>
        <c:minorTickMark val="none"/>
        <c:tickLblPos val="nextTo"/>
        <c:crossAx val="1637029968"/>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X Variable 1  Residual Plot</a:t>
            </a:r>
          </a:p>
        </c:rich>
      </c:tx>
      <c:overlay val="0"/>
    </c:title>
    <c:autoTitleDeleted val="0"/>
    <c:plotArea>
      <c:layout/>
      <c:scatterChart>
        <c:scatterStyle val="lineMarker"/>
        <c:varyColors val="0"/>
        <c:ser>
          <c:idx val="0"/>
          <c:order val="0"/>
          <c:spPr>
            <a:ln w="19050">
              <a:noFill/>
            </a:ln>
          </c:spPr>
          <c:xVal>
            <c:numRef>
              <c:f>'Question 2'!$B$2:$B$21</c:f>
              <c:numCache>
                <c:formatCode>General</c:formatCode>
                <c:ptCount val="20"/>
                <c:pt idx="0">
                  <c:v>57</c:v>
                </c:pt>
                <c:pt idx="1">
                  <c:v>67</c:v>
                </c:pt>
                <c:pt idx="2">
                  <c:v>58</c:v>
                </c:pt>
                <c:pt idx="3">
                  <c:v>86</c:v>
                </c:pt>
                <c:pt idx="4">
                  <c:v>59</c:v>
                </c:pt>
                <c:pt idx="5">
                  <c:v>76</c:v>
                </c:pt>
                <c:pt idx="6">
                  <c:v>56</c:v>
                </c:pt>
                <c:pt idx="7">
                  <c:v>78</c:v>
                </c:pt>
                <c:pt idx="8">
                  <c:v>80</c:v>
                </c:pt>
                <c:pt idx="9">
                  <c:v>78</c:v>
                </c:pt>
                <c:pt idx="10">
                  <c:v>71</c:v>
                </c:pt>
                <c:pt idx="11">
                  <c:v>70</c:v>
                </c:pt>
                <c:pt idx="12">
                  <c:v>67</c:v>
                </c:pt>
                <c:pt idx="13">
                  <c:v>77</c:v>
                </c:pt>
                <c:pt idx="14">
                  <c:v>60</c:v>
                </c:pt>
                <c:pt idx="15">
                  <c:v>82</c:v>
                </c:pt>
                <c:pt idx="16">
                  <c:v>66</c:v>
                </c:pt>
                <c:pt idx="17">
                  <c:v>80</c:v>
                </c:pt>
                <c:pt idx="18">
                  <c:v>62</c:v>
                </c:pt>
                <c:pt idx="19">
                  <c:v>59</c:v>
                </c:pt>
              </c:numCache>
            </c:numRef>
          </c:xVal>
          <c:yVal>
            <c:numRef>
              <c:f>'Question 2'!$C$52:$C$71</c:f>
              <c:numCache>
                <c:formatCode>General</c:formatCode>
                <c:ptCount val="20"/>
                <c:pt idx="0">
                  <c:v>4.1096103921570073</c:v>
                </c:pt>
                <c:pt idx="1">
                  <c:v>2.572251628666212</c:v>
                </c:pt>
                <c:pt idx="2">
                  <c:v>3.2774289180392273</c:v>
                </c:pt>
                <c:pt idx="3">
                  <c:v>1.8489118826854849</c:v>
                </c:pt>
                <c:pt idx="4">
                  <c:v>6.8763354885474577</c:v>
                </c:pt>
                <c:pt idx="5">
                  <c:v>4.5945607784499174</c:v>
                </c:pt>
                <c:pt idx="6">
                  <c:v>1.6910399755496108</c:v>
                </c:pt>
                <c:pt idx="7">
                  <c:v>8.5560793241186204</c:v>
                </c:pt>
                <c:pt idx="8">
                  <c:v>-0.11447593237163289</c:v>
                </c:pt>
                <c:pt idx="9">
                  <c:v>-1.90402428066486</c:v>
                </c:pt>
                <c:pt idx="10">
                  <c:v>-0.96476440007854336</c:v>
                </c:pt>
                <c:pt idx="11">
                  <c:v>8.4022678136911111E-2</c:v>
                </c:pt>
                <c:pt idx="12">
                  <c:v>-8.1168421967243383</c:v>
                </c:pt>
                <c:pt idx="13">
                  <c:v>-4.5184497283351703</c:v>
                </c:pt>
                <c:pt idx="14">
                  <c:v>-7.9558459855703205</c:v>
                </c:pt>
                <c:pt idx="15">
                  <c:v>0.7610575146093268</c:v>
                </c:pt>
                <c:pt idx="16">
                  <c:v>-13.106447732275061</c:v>
                </c:pt>
                <c:pt idx="17">
                  <c:v>-0.59634120727321971</c:v>
                </c:pt>
                <c:pt idx="18">
                  <c:v>-1.4606233529397965</c:v>
                </c:pt>
                <c:pt idx="19">
                  <c:v>4.3665162352730817</c:v>
                </c:pt>
              </c:numCache>
            </c:numRef>
          </c:yVal>
          <c:smooth val="0"/>
          <c:extLst>
            <c:ext xmlns:c16="http://schemas.microsoft.com/office/drawing/2014/chart" uri="{C3380CC4-5D6E-409C-BE32-E72D297353CC}">
              <c16:uniqueId val="{00000001-4F80-EF4D-ABF5-D0D1124475EC}"/>
            </c:ext>
          </c:extLst>
        </c:ser>
        <c:dLbls>
          <c:showLegendKey val="0"/>
          <c:showVal val="0"/>
          <c:showCatName val="0"/>
          <c:showSerName val="0"/>
          <c:showPercent val="0"/>
          <c:showBubbleSize val="0"/>
        </c:dLbls>
        <c:axId val="1418552320"/>
        <c:axId val="1418432320"/>
      </c:scatterChart>
      <c:valAx>
        <c:axId val="1418552320"/>
        <c:scaling>
          <c:orientation val="minMax"/>
        </c:scaling>
        <c:delete val="0"/>
        <c:axPos val="b"/>
        <c:title>
          <c:tx>
            <c:rich>
              <a:bodyPr/>
              <a:lstStyle/>
              <a:p>
                <a:pPr>
                  <a:defRPr/>
                </a:pPr>
                <a:r>
                  <a:rPr lang="en-US"/>
                  <a:t>X Variable 1</a:t>
                </a:r>
              </a:p>
            </c:rich>
          </c:tx>
          <c:overlay val="0"/>
        </c:title>
        <c:numFmt formatCode="General" sourceLinked="1"/>
        <c:majorTickMark val="out"/>
        <c:minorTickMark val="none"/>
        <c:tickLblPos val="nextTo"/>
        <c:crossAx val="1418432320"/>
        <c:crosses val="autoZero"/>
        <c:crossBetween val="midCat"/>
      </c:valAx>
      <c:valAx>
        <c:axId val="1418432320"/>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418552320"/>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X Variable 2  Residual Plot</a:t>
            </a:r>
          </a:p>
        </c:rich>
      </c:tx>
      <c:overlay val="0"/>
    </c:title>
    <c:autoTitleDeleted val="0"/>
    <c:plotArea>
      <c:layout/>
      <c:scatterChart>
        <c:scatterStyle val="lineMarker"/>
        <c:varyColors val="0"/>
        <c:ser>
          <c:idx val="0"/>
          <c:order val="0"/>
          <c:spPr>
            <a:ln w="19050">
              <a:noFill/>
            </a:ln>
          </c:spPr>
          <c:xVal>
            <c:numRef>
              <c:f>'Question 2'!$C$2:$C$21</c:f>
              <c:numCache>
                <c:formatCode>General</c:formatCode>
                <c:ptCount val="20"/>
                <c:pt idx="0">
                  <c:v>152</c:v>
                </c:pt>
                <c:pt idx="1">
                  <c:v>163</c:v>
                </c:pt>
                <c:pt idx="2">
                  <c:v>155</c:v>
                </c:pt>
                <c:pt idx="3">
                  <c:v>177</c:v>
                </c:pt>
                <c:pt idx="4">
                  <c:v>196</c:v>
                </c:pt>
                <c:pt idx="5">
                  <c:v>189</c:v>
                </c:pt>
                <c:pt idx="6">
                  <c:v>155</c:v>
                </c:pt>
                <c:pt idx="7">
                  <c:v>120</c:v>
                </c:pt>
                <c:pt idx="8">
                  <c:v>135</c:v>
                </c:pt>
                <c:pt idx="9">
                  <c:v>98</c:v>
                </c:pt>
                <c:pt idx="10">
                  <c:v>152</c:v>
                </c:pt>
                <c:pt idx="11">
                  <c:v>173</c:v>
                </c:pt>
                <c:pt idx="12">
                  <c:v>135</c:v>
                </c:pt>
                <c:pt idx="13">
                  <c:v>209</c:v>
                </c:pt>
                <c:pt idx="14">
                  <c:v>199</c:v>
                </c:pt>
                <c:pt idx="15">
                  <c:v>119</c:v>
                </c:pt>
                <c:pt idx="16">
                  <c:v>166</c:v>
                </c:pt>
                <c:pt idx="17">
                  <c:v>125</c:v>
                </c:pt>
                <c:pt idx="18">
                  <c:v>117</c:v>
                </c:pt>
                <c:pt idx="19">
                  <c:v>207</c:v>
                </c:pt>
              </c:numCache>
            </c:numRef>
          </c:xVal>
          <c:yVal>
            <c:numRef>
              <c:f>'Question 2'!$C$52:$C$71</c:f>
              <c:numCache>
                <c:formatCode>General</c:formatCode>
                <c:ptCount val="20"/>
                <c:pt idx="0">
                  <c:v>4.1096103921570073</c:v>
                </c:pt>
                <c:pt idx="1">
                  <c:v>2.572251628666212</c:v>
                </c:pt>
                <c:pt idx="2">
                  <c:v>3.2774289180392273</c:v>
                </c:pt>
                <c:pt idx="3">
                  <c:v>1.8489118826854849</c:v>
                </c:pt>
                <c:pt idx="4">
                  <c:v>6.8763354885474577</c:v>
                </c:pt>
                <c:pt idx="5">
                  <c:v>4.5945607784499174</c:v>
                </c:pt>
                <c:pt idx="6">
                  <c:v>1.6910399755496108</c:v>
                </c:pt>
                <c:pt idx="7">
                  <c:v>8.5560793241186204</c:v>
                </c:pt>
                <c:pt idx="8">
                  <c:v>-0.11447593237163289</c:v>
                </c:pt>
                <c:pt idx="9">
                  <c:v>-1.90402428066486</c:v>
                </c:pt>
                <c:pt idx="10">
                  <c:v>-0.96476440007854336</c:v>
                </c:pt>
                <c:pt idx="11">
                  <c:v>8.4022678136911111E-2</c:v>
                </c:pt>
                <c:pt idx="12">
                  <c:v>-8.1168421967243383</c:v>
                </c:pt>
                <c:pt idx="13">
                  <c:v>-4.5184497283351703</c:v>
                </c:pt>
                <c:pt idx="14">
                  <c:v>-7.9558459855703205</c:v>
                </c:pt>
                <c:pt idx="15">
                  <c:v>0.7610575146093268</c:v>
                </c:pt>
                <c:pt idx="16">
                  <c:v>-13.106447732275061</c:v>
                </c:pt>
                <c:pt idx="17">
                  <c:v>-0.59634120727321971</c:v>
                </c:pt>
                <c:pt idx="18">
                  <c:v>-1.4606233529397965</c:v>
                </c:pt>
                <c:pt idx="19">
                  <c:v>4.3665162352730817</c:v>
                </c:pt>
              </c:numCache>
            </c:numRef>
          </c:yVal>
          <c:smooth val="0"/>
          <c:extLst>
            <c:ext xmlns:c16="http://schemas.microsoft.com/office/drawing/2014/chart" uri="{C3380CC4-5D6E-409C-BE32-E72D297353CC}">
              <c16:uniqueId val="{00000001-CFE6-FA44-BDE6-6CE5DAC791CE}"/>
            </c:ext>
          </c:extLst>
        </c:ser>
        <c:dLbls>
          <c:showLegendKey val="0"/>
          <c:showVal val="0"/>
          <c:showCatName val="0"/>
          <c:showSerName val="0"/>
          <c:showPercent val="0"/>
          <c:showBubbleSize val="0"/>
        </c:dLbls>
        <c:axId val="636846704"/>
        <c:axId val="1055599280"/>
      </c:scatterChart>
      <c:valAx>
        <c:axId val="636846704"/>
        <c:scaling>
          <c:orientation val="minMax"/>
        </c:scaling>
        <c:delete val="0"/>
        <c:axPos val="b"/>
        <c:title>
          <c:tx>
            <c:rich>
              <a:bodyPr/>
              <a:lstStyle/>
              <a:p>
                <a:pPr>
                  <a:defRPr/>
                </a:pPr>
                <a:r>
                  <a:rPr lang="en-US"/>
                  <a:t>X Variable 2</a:t>
                </a:r>
              </a:p>
            </c:rich>
          </c:tx>
          <c:overlay val="0"/>
        </c:title>
        <c:numFmt formatCode="General" sourceLinked="1"/>
        <c:majorTickMark val="out"/>
        <c:minorTickMark val="none"/>
        <c:tickLblPos val="nextTo"/>
        <c:crossAx val="1055599280"/>
        <c:crosses val="autoZero"/>
        <c:crossBetween val="midCat"/>
      </c:valAx>
      <c:valAx>
        <c:axId val="1055599280"/>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636846704"/>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X Variable 3  Residual Plot</a:t>
            </a:r>
          </a:p>
        </c:rich>
      </c:tx>
      <c:overlay val="0"/>
    </c:title>
    <c:autoTitleDeleted val="0"/>
    <c:plotArea>
      <c:layout/>
      <c:scatterChart>
        <c:scatterStyle val="lineMarker"/>
        <c:varyColors val="0"/>
        <c:ser>
          <c:idx val="0"/>
          <c:order val="0"/>
          <c:spPr>
            <a:ln w="19050">
              <a:noFill/>
            </a:ln>
          </c:spPr>
          <c:xVal>
            <c:numRef>
              <c:f>'Question 2'!$D$2:$D$21</c:f>
              <c:numCache>
                <c:formatCode>General</c:formatCode>
                <c:ptCount val="20"/>
                <c:pt idx="0">
                  <c:v>0</c:v>
                </c:pt>
                <c:pt idx="1">
                  <c:v>0</c:v>
                </c:pt>
                <c:pt idx="2">
                  <c:v>0</c:v>
                </c:pt>
                <c:pt idx="3">
                  <c:v>1</c:v>
                </c:pt>
                <c:pt idx="4">
                  <c:v>0</c:v>
                </c:pt>
                <c:pt idx="5">
                  <c:v>1</c:v>
                </c:pt>
                <c:pt idx="6">
                  <c:v>1</c:v>
                </c:pt>
                <c:pt idx="7">
                  <c:v>0</c:v>
                </c:pt>
                <c:pt idx="8">
                  <c:v>1</c:v>
                </c:pt>
                <c:pt idx="9">
                  <c:v>0</c:v>
                </c:pt>
                <c:pt idx="10">
                  <c:v>0</c:v>
                </c:pt>
                <c:pt idx="11">
                  <c:v>1</c:v>
                </c:pt>
                <c:pt idx="12">
                  <c:v>1</c:v>
                </c:pt>
                <c:pt idx="13">
                  <c:v>1</c:v>
                </c:pt>
                <c:pt idx="14">
                  <c:v>0</c:v>
                </c:pt>
                <c:pt idx="15">
                  <c:v>1</c:v>
                </c:pt>
                <c:pt idx="16">
                  <c:v>0</c:v>
                </c:pt>
                <c:pt idx="17">
                  <c:v>1</c:v>
                </c:pt>
                <c:pt idx="18">
                  <c:v>0</c:v>
                </c:pt>
                <c:pt idx="19">
                  <c:v>1</c:v>
                </c:pt>
              </c:numCache>
            </c:numRef>
          </c:xVal>
          <c:yVal>
            <c:numRef>
              <c:f>'Question 2'!$C$52:$C$71</c:f>
              <c:numCache>
                <c:formatCode>General</c:formatCode>
                <c:ptCount val="20"/>
                <c:pt idx="0">
                  <c:v>4.1096103921570073</c:v>
                </c:pt>
                <c:pt idx="1">
                  <c:v>2.572251628666212</c:v>
                </c:pt>
                <c:pt idx="2">
                  <c:v>3.2774289180392273</c:v>
                </c:pt>
                <c:pt idx="3">
                  <c:v>1.8489118826854849</c:v>
                </c:pt>
                <c:pt idx="4">
                  <c:v>6.8763354885474577</c:v>
                </c:pt>
                <c:pt idx="5">
                  <c:v>4.5945607784499174</c:v>
                </c:pt>
                <c:pt idx="6">
                  <c:v>1.6910399755496108</c:v>
                </c:pt>
                <c:pt idx="7">
                  <c:v>8.5560793241186204</c:v>
                </c:pt>
                <c:pt idx="8">
                  <c:v>-0.11447593237163289</c:v>
                </c:pt>
                <c:pt idx="9">
                  <c:v>-1.90402428066486</c:v>
                </c:pt>
                <c:pt idx="10">
                  <c:v>-0.96476440007854336</c:v>
                </c:pt>
                <c:pt idx="11">
                  <c:v>8.4022678136911111E-2</c:v>
                </c:pt>
                <c:pt idx="12">
                  <c:v>-8.1168421967243383</c:v>
                </c:pt>
                <c:pt idx="13">
                  <c:v>-4.5184497283351703</c:v>
                </c:pt>
                <c:pt idx="14">
                  <c:v>-7.9558459855703205</c:v>
                </c:pt>
                <c:pt idx="15">
                  <c:v>0.7610575146093268</c:v>
                </c:pt>
                <c:pt idx="16">
                  <c:v>-13.106447732275061</c:v>
                </c:pt>
                <c:pt idx="17">
                  <c:v>-0.59634120727321971</c:v>
                </c:pt>
                <c:pt idx="18">
                  <c:v>-1.4606233529397965</c:v>
                </c:pt>
                <c:pt idx="19">
                  <c:v>4.3665162352730817</c:v>
                </c:pt>
              </c:numCache>
            </c:numRef>
          </c:yVal>
          <c:smooth val="0"/>
          <c:extLst>
            <c:ext xmlns:c16="http://schemas.microsoft.com/office/drawing/2014/chart" uri="{C3380CC4-5D6E-409C-BE32-E72D297353CC}">
              <c16:uniqueId val="{00000001-C828-3D46-9984-AE22834FB66D}"/>
            </c:ext>
          </c:extLst>
        </c:ser>
        <c:dLbls>
          <c:showLegendKey val="0"/>
          <c:showVal val="0"/>
          <c:showCatName val="0"/>
          <c:showSerName val="0"/>
          <c:showPercent val="0"/>
          <c:showBubbleSize val="0"/>
        </c:dLbls>
        <c:axId val="1328634352"/>
        <c:axId val="1328636064"/>
      </c:scatterChart>
      <c:valAx>
        <c:axId val="1328634352"/>
        <c:scaling>
          <c:orientation val="minMax"/>
        </c:scaling>
        <c:delete val="0"/>
        <c:axPos val="b"/>
        <c:title>
          <c:tx>
            <c:rich>
              <a:bodyPr/>
              <a:lstStyle/>
              <a:p>
                <a:pPr>
                  <a:defRPr/>
                </a:pPr>
                <a:r>
                  <a:rPr lang="en-US"/>
                  <a:t>X Variable 3</a:t>
                </a:r>
              </a:p>
            </c:rich>
          </c:tx>
          <c:overlay val="0"/>
        </c:title>
        <c:numFmt formatCode="General" sourceLinked="1"/>
        <c:majorTickMark val="out"/>
        <c:minorTickMark val="none"/>
        <c:tickLblPos val="nextTo"/>
        <c:crossAx val="1328636064"/>
        <c:crosses val="autoZero"/>
        <c:crossBetween val="midCat"/>
      </c:valAx>
      <c:valAx>
        <c:axId val="1328636064"/>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328634352"/>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X Variable 1 Line Fit  Plot</a:t>
            </a:r>
          </a:p>
        </c:rich>
      </c:tx>
      <c:overlay val="0"/>
    </c:title>
    <c:autoTitleDeleted val="0"/>
    <c:plotArea>
      <c:layout/>
      <c:scatterChart>
        <c:scatterStyle val="lineMarker"/>
        <c:varyColors val="0"/>
        <c:ser>
          <c:idx val="0"/>
          <c:order val="0"/>
          <c:tx>
            <c:v>Y</c:v>
          </c:tx>
          <c:spPr>
            <a:ln w="19050">
              <a:noFill/>
            </a:ln>
          </c:spPr>
          <c:xVal>
            <c:numRef>
              <c:f>'Question 2'!$B$2:$B$21</c:f>
              <c:numCache>
                <c:formatCode>General</c:formatCode>
                <c:ptCount val="20"/>
                <c:pt idx="0">
                  <c:v>57</c:v>
                </c:pt>
                <c:pt idx="1">
                  <c:v>67</c:v>
                </c:pt>
                <c:pt idx="2">
                  <c:v>58</c:v>
                </c:pt>
                <c:pt idx="3">
                  <c:v>86</c:v>
                </c:pt>
                <c:pt idx="4">
                  <c:v>59</c:v>
                </c:pt>
                <c:pt idx="5">
                  <c:v>76</c:v>
                </c:pt>
                <c:pt idx="6">
                  <c:v>56</c:v>
                </c:pt>
                <c:pt idx="7">
                  <c:v>78</c:v>
                </c:pt>
                <c:pt idx="8">
                  <c:v>80</c:v>
                </c:pt>
                <c:pt idx="9">
                  <c:v>78</c:v>
                </c:pt>
                <c:pt idx="10">
                  <c:v>71</c:v>
                </c:pt>
                <c:pt idx="11">
                  <c:v>70</c:v>
                </c:pt>
                <c:pt idx="12">
                  <c:v>67</c:v>
                </c:pt>
                <c:pt idx="13">
                  <c:v>77</c:v>
                </c:pt>
                <c:pt idx="14">
                  <c:v>60</c:v>
                </c:pt>
                <c:pt idx="15">
                  <c:v>82</c:v>
                </c:pt>
                <c:pt idx="16">
                  <c:v>66</c:v>
                </c:pt>
                <c:pt idx="17">
                  <c:v>80</c:v>
                </c:pt>
                <c:pt idx="18">
                  <c:v>62</c:v>
                </c:pt>
                <c:pt idx="19">
                  <c:v>59</c:v>
                </c:pt>
              </c:numCache>
            </c:numRef>
          </c:xVal>
          <c:yVal>
            <c:numRef>
              <c:f>'Question 2'!$A$2:$A$21</c:f>
              <c:numCache>
                <c:formatCode>General</c:formatCode>
                <c:ptCount val="20"/>
                <c:pt idx="0">
                  <c:v>12</c:v>
                </c:pt>
                <c:pt idx="1">
                  <c:v>24</c:v>
                </c:pt>
                <c:pt idx="2">
                  <c:v>13</c:v>
                </c:pt>
                <c:pt idx="3">
                  <c:v>56</c:v>
                </c:pt>
                <c:pt idx="4">
                  <c:v>28</c:v>
                </c:pt>
                <c:pt idx="5">
                  <c:v>51</c:v>
                </c:pt>
                <c:pt idx="6">
                  <c:v>18</c:v>
                </c:pt>
                <c:pt idx="7">
                  <c:v>31</c:v>
                </c:pt>
                <c:pt idx="8">
                  <c:v>37</c:v>
                </c:pt>
                <c:pt idx="9">
                  <c:v>15</c:v>
                </c:pt>
                <c:pt idx="10">
                  <c:v>22</c:v>
                </c:pt>
                <c:pt idx="11">
                  <c:v>36</c:v>
                </c:pt>
                <c:pt idx="12">
                  <c:v>15</c:v>
                </c:pt>
                <c:pt idx="13">
                  <c:v>48</c:v>
                </c:pt>
                <c:pt idx="14">
                  <c:v>15</c:v>
                </c:pt>
                <c:pt idx="15">
                  <c:v>36</c:v>
                </c:pt>
                <c:pt idx="16">
                  <c:v>8</c:v>
                </c:pt>
                <c:pt idx="17">
                  <c:v>34</c:v>
                </c:pt>
                <c:pt idx="18">
                  <c:v>3</c:v>
                </c:pt>
                <c:pt idx="19">
                  <c:v>37</c:v>
                </c:pt>
              </c:numCache>
            </c:numRef>
          </c:yVal>
          <c:smooth val="0"/>
          <c:extLst>
            <c:ext xmlns:c16="http://schemas.microsoft.com/office/drawing/2014/chart" uri="{C3380CC4-5D6E-409C-BE32-E72D297353CC}">
              <c16:uniqueId val="{00000001-DD58-554B-B7B1-05F2EBB62758}"/>
            </c:ext>
          </c:extLst>
        </c:ser>
        <c:ser>
          <c:idx val="1"/>
          <c:order val="1"/>
          <c:tx>
            <c:v>Predicted Y</c:v>
          </c:tx>
          <c:spPr>
            <a:ln w="19050">
              <a:noFill/>
            </a:ln>
          </c:spPr>
          <c:xVal>
            <c:numRef>
              <c:f>'Question 2'!$B$2:$B$21</c:f>
              <c:numCache>
                <c:formatCode>General</c:formatCode>
                <c:ptCount val="20"/>
                <c:pt idx="0">
                  <c:v>57</c:v>
                </c:pt>
                <c:pt idx="1">
                  <c:v>67</c:v>
                </c:pt>
                <c:pt idx="2">
                  <c:v>58</c:v>
                </c:pt>
                <c:pt idx="3">
                  <c:v>86</c:v>
                </c:pt>
                <c:pt idx="4">
                  <c:v>59</c:v>
                </c:pt>
                <c:pt idx="5">
                  <c:v>76</c:v>
                </c:pt>
                <c:pt idx="6">
                  <c:v>56</c:v>
                </c:pt>
                <c:pt idx="7">
                  <c:v>78</c:v>
                </c:pt>
                <c:pt idx="8">
                  <c:v>80</c:v>
                </c:pt>
                <c:pt idx="9">
                  <c:v>78</c:v>
                </c:pt>
                <c:pt idx="10">
                  <c:v>71</c:v>
                </c:pt>
                <c:pt idx="11">
                  <c:v>70</c:v>
                </c:pt>
                <c:pt idx="12">
                  <c:v>67</c:v>
                </c:pt>
                <c:pt idx="13">
                  <c:v>77</c:v>
                </c:pt>
                <c:pt idx="14">
                  <c:v>60</c:v>
                </c:pt>
                <c:pt idx="15">
                  <c:v>82</c:v>
                </c:pt>
                <c:pt idx="16">
                  <c:v>66</c:v>
                </c:pt>
                <c:pt idx="17">
                  <c:v>80</c:v>
                </c:pt>
                <c:pt idx="18">
                  <c:v>62</c:v>
                </c:pt>
                <c:pt idx="19">
                  <c:v>59</c:v>
                </c:pt>
              </c:numCache>
            </c:numRef>
          </c:xVal>
          <c:yVal>
            <c:numRef>
              <c:f>'Question 2'!$B$52:$B$71</c:f>
              <c:numCache>
                <c:formatCode>General</c:formatCode>
                <c:ptCount val="20"/>
                <c:pt idx="0">
                  <c:v>7.8903896078429927</c:v>
                </c:pt>
                <c:pt idx="1">
                  <c:v>21.427748371333788</c:v>
                </c:pt>
                <c:pt idx="2">
                  <c:v>9.7225710819607727</c:v>
                </c:pt>
                <c:pt idx="3">
                  <c:v>54.151088117314515</c:v>
                </c:pt>
                <c:pt idx="4">
                  <c:v>21.123664511452542</c:v>
                </c:pt>
                <c:pt idx="5">
                  <c:v>46.405439221550083</c:v>
                </c:pt>
                <c:pt idx="6">
                  <c:v>16.308960024450389</c:v>
                </c:pt>
                <c:pt idx="7">
                  <c:v>22.44392067588138</c:v>
                </c:pt>
                <c:pt idx="8">
                  <c:v>37.114475932371633</c:v>
                </c:pt>
                <c:pt idx="9">
                  <c:v>16.90402428066486</c:v>
                </c:pt>
                <c:pt idx="10">
                  <c:v>22.964764400078543</c:v>
                </c:pt>
                <c:pt idx="11">
                  <c:v>35.915977321863089</c:v>
                </c:pt>
                <c:pt idx="12">
                  <c:v>23.116842196724338</c:v>
                </c:pt>
                <c:pt idx="13">
                  <c:v>52.51844972833517</c:v>
                </c:pt>
                <c:pt idx="14">
                  <c:v>22.955845985570321</c:v>
                </c:pt>
                <c:pt idx="15">
                  <c:v>35.238942485390673</c:v>
                </c:pt>
                <c:pt idx="16">
                  <c:v>21.106447732275061</c:v>
                </c:pt>
                <c:pt idx="17">
                  <c:v>34.59634120727322</c:v>
                </c:pt>
                <c:pt idx="18">
                  <c:v>4.4606233529397965</c:v>
                </c:pt>
                <c:pt idx="19">
                  <c:v>32.633483764726918</c:v>
                </c:pt>
              </c:numCache>
            </c:numRef>
          </c:yVal>
          <c:smooth val="0"/>
          <c:extLst>
            <c:ext xmlns:c16="http://schemas.microsoft.com/office/drawing/2014/chart" uri="{C3380CC4-5D6E-409C-BE32-E72D297353CC}">
              <c16:uniqueId val="{00000002-DD58-554B-B7B1-05F2EBB62758}"/>
            </c:ext>
          </c:extLst>
        </c:ser>
        <c:dLbls>
          <c:showLegendKey val="0"/>
          <c:showVal val="0"/>
          <c:showCatName val="0"/>
          <c:showSerName val="0"/>
          <c:showPercent val="0"/>
          <c:showBubbleSize val="0"/>
        </c:dLbls>
        <c:axId val="762839648"/>
        <c:axId val="402639648"/>
      </c:scatterChart>
      <c:valAx>
        <c:axId val="762839648"/>
        <c:scaling>
          <c:orientation val="minMax"/>
        </c:scaling>
        <c:delete val="0"/>
        <c:axPos val="b"/>
        <c:title>
          <c:tx>
            <c:rich>
              <a:bodyPr/>
              <a:lstStyle/>
              <a:p>
                <a:pPr>
                  <a:defRPr/>
                </a:pPr>
                <a:r>
                  <a:rPr lang="en-US"/>
                  <a:t>X Variable 1</a:t>
                </a:r>
              </a:p>
            </c:rich>
          </c:tx>
          <c:overlay val="0"/>
        </c:title>
        <c:numFmt formatCode="General" sourceLinked="1"/>
        <c:majorTickMark val="out"/>
        <c:minorTickMark val="none"/>
        <c:tickLblPos val="nextTo"/>
        <c:crossAx val="402639648"/>
        <c:crosses val="autoZero"/>
        <c:crossBetween val="midCat"/>
      </c:valAx>
      <c:valAx>
        <c:axId val="402639648"/>
        <c:scaling>
          <c:orientation val="minMax"/>
        </c:scaling>
        <c:delete val="0"/>
        <c:axPos val="l"/>
        <c:title>
          <c:tx>
            <c:rich>
              <a:bodyPr/>
              <a:lstStyle/>
              <a:p>
                <a:pPr>
                  <a:defRPr/>
                </a:pPr>
                <a:r>
                  <a:rPr lang="en-US"/>
                  <a:t>Y</a:t>
                </a:r>
              </a:p>
            </c:rich>
          </c:tx>
          <c:overlay val="0"/>
        </c:title>
        <c:numFmt formatCode="General" sourceLinked="1"/>
        <c:majorTickMark val="out"/>
        <c:minorTickMark val="none"/>
        <c:tickLblPos val="nextTo"/>
        <c:crossAx val="762839648"/>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X Variable 2 Line Fit  Plot</a:t>
            </a:r>
          </a:p>
        </c:rich>
      </c:tx>
      <c:overlay val="0"/>
    </c:title>
    <c:autoTitleDeleted val="0"/>
    <c:plotArea>
      <c:layout/>
      <c:scatterChart>
        <c:scatterStyle val="lineMarker"/>
        <c:varyColors val="0"/>
        <c:ser>
          <c:idx val="0"/>
          <c:order val="0"/>
          <c:tx>
            <c:v>Y</c:v>
          </c:tx>
          <c:spPr>
            <a:ln w="19050">
              <a:noFill/>
            </a:ln>
          </c:spPr>
          <c:xVal>
            <c:numRef>
              <c:f>'Question 2'!$C$2:$C$21</c:f>
              <c:numCache>
                <c:formatCode>General</c:formatCode>
                <c:ptCount val="20"/>
                <c:pt idx="0">
                  <c:v>152</c:v>
                </c:pt>
                <c:pt idx="1">
                  <c:v>163</c:v>
                </c:pt>
                <c:pt idx="2">
                  <c:v>155</c:v>
                </c:pt>
                <c:pt idx="3">
                  <c:v>177</c:v>
                </c:pt>
                <c:pt idx="4">
                  <c:v>196</c:v>
                </c:pt>
                <c:pt idx="5">
                  <c:v>189</c:v>
                </c:pt>
                <c:pt idx="6">
                  <c:v>155</c:v>
                </c:pt>
                <c:pt idx="7">
                  <c:v>120</c:v>
                </c:pt>
                <c:pt idx="8">
                  <c:v>135</c:v>
                </c:pt>
                <c:pt idx="9">
                  <c:v>98</c:v>
                </c:pt>
                <c:pt idx="10">
                  <c:v>152</c:v>
                </c:pt>
                <c:pt idx="11">
                  <c:v>173</c:v>
                </c:pt>
                <c:pt idx="12">
                  <c:v>135</c:v>
                </c:pt>
                <c:pt idx="13">
                  <c:v>209</c:v>
                </c:pt>
                <c:pt idx="14">
                  <c:v>199</c:v>
                </c:pt>
                <c:pt idx="15">
                  <c:v>119</c:v>
                </c:pt>
                <c:pt idx="16">
                  <c:v>166</c:v>
                </c:pt>
                <c:pt idx="17">
                  <c:v>125</c:v>
                </c:pt>
                <c:pt idx="18">
                  <c:v>117</c:v>
                </c:pt>
                <c:pt idx="19">
                  <c:v>207</c:v>
                </c:pt>
              </c:numCache>
            </c:numRef>
          </c:xVal>
          <c:yVal>
            <c:numRef>
              <c:f>'Question 2'!$A$2:$A$21</c:f>
              <c:numCache>
                <c:formatCode>General</c:formatCode>
                <c:ptCount val="20"/>
                <c:pt idx="0">
                  <c:v>12</c:v>
                </c:pt>
                <c:pt idx="1">
                  <c:v>24</c:v>
                </c:pt>
                <c:pt idx="2">
                  <c:v>13</c:v>
                </c:pt>
                <c:pt idx="3">
                  <c:v>56</c:v>
                </c:pt>
                <c:pt idx="4">
                  <c:v>28</c:v>
                </c:pt>
                <c:pt idx="5">
                  <c:v>51</c:v>
                </c:pt>
                <c:pt idx="6">
                  <c:v>18</c:v>
                </c:pt>
                <c:pt idx="7">
                  <c:v>31</c:v>
                </c:pt>
                <c:pt idx="8">
                  <c:v>37</c:v>
                </c:pt>
                <c:pt idx="9">
                  <c:v>15</c:v>
                </c:pt>
                <c:pt idx="10">
                  <c:v>22</c:v>
                </c:pt>
                <c:pt idx="11">
                  <c:v>36</c:v>
                </c:pt>
                <c:pt idx="12">
                  <c:v>15</c:v>
                </c:pt>
                <c:pt idx="13">
                  <c:v>48</c:v>
                </c:pt>
                <c:pt idx="14">
                  <c:v>15</c:v>
                </c:pt>
                <c:pt idx="15">
                  <c:v>36</c:v>
                </c:pt>
                <c:pt idx="16">
                  <c:v>8</c:v>
                </c:pt>
                <c:pt idx="17">
                  <c:v>34</c:v>
                </c:pt>
                <c:pt idx="18">
                  <c:v>3</c:v>
                </c:pt>
                <c:pt idx="19">
                  <c:v>37</c:v>
                </c:pt>
              </c:numCache>
            </c:numRef>
          </c:yVal>
          <c:smooth val="0"/>
          <c:extLst>
            <c:ext xmlns:c16="http://schemas.microsoft.com/office/drawing/2014/chart" uri="{C3380CC4-5D6E-409C-BE32-E72D297353CC}">
              <c16:uniqueId val="{00000001-AEEA-6B4F-A646-E3FACE854CE5}"/>
            </c:ext>
          </c:extLst>
        </c:ser>
        <c:ser>
          <c:idx val="1"/>
          <c:order val="1"/>
          <c:tx>
            <c:v>Predicted Y</c:v>
          </c:tx>
          <c:spPr>
            <a:ln w="19050">
              <a:noFill/>
            </a:ln>
          </c:spPr>
          <c:xVal>
            <c:numRef>
              <c:f>'Question 2'!$C$2:$C$21</c:f>
              <c:numCache>
                <c:formatCode>General</c:formatCode>
                <c:ptCount val="20"/>
                <c:pt idx="0">
                  <c:v>152</c:v>
                </c:pt>
                <c:pt idx="1">
                  <c:v>163</c:v>
                </c:pt>
                <c:pt idx="2">
                  <c:v>155</c:v>
                </c:pt>
                <c:pt idx="3">
                  <c:v>177</c:v>
                </c:pt>
                <c:pt idx="4">
                  <c:v>196</c:v>
                </c:pt>
                <c:pt idx="5">
                  <c:v>189</c:v>
                </c:pt>
                <c:pt idx="6">
                  <c:v>155</c:v>
                </c:pt>
                <c:pt idx="7">
                  <c:v>120</c:v>
                </c:pt>
                <c:pt idx="8">
                  <c:v>135</c:v>
                </c:pt>
                <c:pt idx="9">
                  <c:v>98</c:v>
                </c:pt>
                <c:pt idx="10">
                  <c:v>152</c:v>
                </c:pt>
                <c:pt idx="11">
                  <c:v>173</c:v>
                </c:pt>
                <c:pt idx="12">
                  <c:v>135</c:v>
                </c:pt>
                <c:pt idx="13">
                  <c:v>209</c:v>
                </c:pt>
                <c:pt idx="14">
                  <c:v>199</c:v>
                </c:pt>
                <c:pt idx="15">
                  <c:v>119</c:v>
                </c:pt>
                <c:pt idx="16">
                  <c:v>166</c:v>
                </c:pt>
                <c:pt idx="17">
                  <c:v>125</c:v>
                </c:pt>
                <c:pt idx="18">
                  <c:v>117</c:v>
                </c:pt>
                <c:pt idx="19">
                  <c:v>207</c:v>
                </c:pt>
              </c:numCache>
            </c:numRef>
          </c:xVal>
          <c:yVal>
            <c:numRef>
              <c:f>'Question 2'!$B$52:$B$71</c:f>
              <c:numCache>
                <c:formatCode>General</c:formatCode>
                <c:ptCount val="20"/>
                <c:pt idx="0">
                  <c:v>7.8903896078429927</c:v>
                </c:pt>
                <c:pt idx="1">
                  <c:v>21.427748371333788</c:v>
                </c:pt>
                <c:pt idx="2">
                  <c:v>9.7225710819607727</c:v>
                </c:pt>
                <c:pt idx="3">
                  <c:v>54.151088117314515</c:v>
                </c:pt>
                <c:pt idx="4">
                  <c:v>21.123664511452542</c:v>
                </c:pt>
                <c:pt idx="5">
                  <c:v>46.405439221550083</c:v>
                </c:pt>
                <c:pt idx="6">
                  <c:v>16.308960024450389</c:v>
                </c:pt>
                <c:pt idx="7">
                  <c:v>22.44392067588138</c:v>
                </c:pt>
                <c:pt idx="8">
                  <c:v>37.114475932371633</c:v>
                </c:pt>
                <c:pt idx="9">
                  <c:v>16.90402428066486</c:v>
                </c:pt>
                <c:pt idx="10">
                  <c:v>22.964764400078543</c:v>
                </c:pt>
                <c:pt idx="11">
                  <c:v>35.915977321863089</c:v>
                </c:pt>
                <c:pt idx="12">
                  <c:v>23.116842196724338</c:v>
                </c:pt>
                <c:pt idx="13">
                  <c:v>52.51844972833517</c:v>
                </c:pt>
                <c:pt idx="14">
                  <c:v>22.955845985570321</c:v>
                </c:pt>
                <c:pt idx="15">
                  <c:v>35.238942485390673</c:v>
                </c:pt>
                <c:pt idx="16">
                  <c:v>21.106447732275061</c:v>
                </c:pt>
                <c:pt idx="17">
                  <c:v>34.59634120727322</c:v>
                </c:pt>
                <c:pt idx="18">
                  <c:v>4.4606233529397965</c:v>
                </c:pt>
                <c:pt idx="19">
                  <c:v>32.633483764726918</c:v>
                </c:pt>
              </c:numCache>
            </c:numRef>
          </c:yVal>
          <c:smooth val="0"/>
          <c:extLst>
            <c:ext xmlns:c16="http://schemas.microsoft.com/office/drawing/2014/chart" uri="{C3380CC4-5D6E-409C-BE32-E72D297353CC}">
              <c16:uniqueId val="{00000002-AEEA-6B4F-A646-E3FACE854CE5}"/>
            </c:ext>
          </c:extLst>
        </c:ser>
        <c:dLbls>
          <c:showLegendKey val="0"/>
          <c:showVal val="0"/>
          <c:showCatName val="0"/>
          <c:showSerName val="0"/>
          <c:showPercent val="0"/>
          <c:showBubbleSize val="0"/>
        </c:dLbls>
        <c:axId val="1328669712"/>
        <c:axId val="1328642000"/>
      </c:scatterChart>
      <c:valAx>
        <c:axId val="1328669712"/>
        <c:scaling>
          <c:orientation val="minMax"/>
        </c:scaling>
        <c:delete val="0"/>
        <c:axPos val="b"/>
        <c:title>
          <c:tx>
            <c:rich>
              <a:bodyPr/>
              <a:lstStyle/>
              <a:p>
                <a:pPr>
                  <a:defRPr/>
                </a:pPr>
                <a:r>
                  <a:rPr lang="en-US"/>
                  <a:t>X Variable 2</a:t>
                </a:r>
              </a:p>
            </c:rich>
          </c:tx>
          <c:overlay val="0"/>
        </c:title>
        <c:numFmt formatCode="General" sourceLinked="1"/>
        <c:majorTickMark val="out"/>
        <c:minorTickMark val="none"/>
        <c:tickLblPos val="nextTo"/>
        <c:crossAx val="1328642000"/>
        <c:crosses val="autoZero"/>
        <c:crossBetween val="midCat"/>
      </c:valAx>
      <c:valAx>
        <c:axId val="1328642000"/>
        <c:scaling>
          <c:orientation val="minMax"/>
        </c:scaling>
        <c:delete val="0"/>
        <c:axPos val="l"/>
        <c:title>
          <c:tx>
            <c:rich>
              <a:bodyPr/>
              <a:lstStyle/>
              <a:p>
                <a:pPr>
                  <a:defRPr/>
                </a:pPr>
                <a:r>
                  <a:rPr lang="en-US"/>
                  <a:t>Y</a:t>
                </a:r>
              </a:p>
            </c:rich>
          </c:tx>
          <c:overlay val="0"/>
        </c:title>
        <c:numFmt formatCode="General" sourceLinked="1"/>
        <c:majorTickMark val="out"/>
        <c:minorTickMark val="none"/>
        <c:tickLblPos val="nextTo"/>
        <c:crossAx val="1328669712"/>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X Variable 3 Line Fit  Plot</a:t>
            </a:r>
          </a:p>
        </c:rich>
      </c:tx>
      <c:overlay val="0"/>
    </c:title>
    <c:autoTitleDeleted val="0"/>
    <c:plotArea>
      <c:layout/>
      <c:scatterChart>
        <c:scatterStyle val="lineMarker"/>
        <c:varyColors val="0"/>
        <c:ser>
          <c:idx val="0"/>
          <c:order val="0"/>
          <c:tx>
            <c:v>Y</c:v>
          </c:tx>
          <c:spPr>
            <a:ln w="19050">
              <a:noFill/>
            </a:ln>
          </c:spPr>
          <c:xVal>
            <c:numRef>
              <c:f>'Question 2'!$D$2:$D$21</c:f>
              <c:numCache>
                <c:formatCode>General</c:formatCode>
                <c:ptCount val="20"/>
                <c:pt idx="0">
                  <c:v>0</c:v>
                </c:pt>
                <c:pt idx="1">
                  <c:v>0</c:v>
                </c:pt>
                <c:pt idx="2">
                  <c:v>0</c:v>
                </c:pt>
                <c:pt idx="3">
                  <c:v>1</c:v>
                </c:pt>
                <c:pt idx="4">
                  <c:v>0</c:v>
                </c:pt>
                <c:pt idx="5">
                  <c:v>1</c:v>
                </c:pt>
                <c:pt idx="6">
                  <c:v>1</c:v>
                </c:pt>
                <c:pt idx="7">
                  <c:v>0</c:v>
                </c:pt>
                <c:pt idx="8">
                  <c:v>1</c:v>
                </c:pt>
                <c:pt idx="9">
                  <c:v>0</c:v>
                </c:pt>
                <c:pt idx="10">
                  <c:v>0</c:v>
                </c:pt>
                <c:pt idx="11">
                  <c:v>1</c:v>
                </c:pt>
                <c:pt idx="12">
                  <c:v>1</c:v>
                </c:pt>
                <c:pt idx="13">
                  <c:v>1</c:v>
                </c:pt>
                <c:pt idx="14">
                  <c:v>0</c:v>
                </c:pt>
                <c:pt idx="15">
                  <c:v>1</c:v>
                </c:pt>
                <c:pt idx="16">
                  <c:v>0</c:v>
                </c:pt>
                <c:pt idx="17">
                  <c:v>1</c:v>
                </c:pt>
                <c:pt idx="18">
                  <c:v>0</c:v>
                </c:pt>
                <c:pt idx="19">
                  <c:v>1</c:v>
                </c:pt>
              </c:numCache>
            </c:numRef>
          </c:xVal>
          <c:yVal>
            <c:numRef>
              <c:f>'Question 2'!$A$2:$A$21</c:f>
              <c:numCache>
                <c:formatCode>General</c:formatCode>
                <c:ptCount val="20"/>
                <c:pt idx="0">
                  <c:v>12</c:v>
                </c:pt>
                <c:pt idx="1">
                  <c:v>24</c:v>
                </c:pt>
                <c:pt idx="2">
                  <c:v>13</c:v>
                </c:pt>
                <c:pt idx="3">
                  <c:v>56</c:v>
                </c:pt>
                <c:pt idx="4">
                  <c:v>28</c:v>
                </c:pt>
                <c:pt idx="5">
                  <c:v>51</c:v>
                </c:pt>
                <c:pt idx="6">
                  <c:v>18</c:v>
                </c:pt>
                <c:pt idx="7">
                  <c:v>31</c:v>
                </c:pt>
                <c:pt idx="8">
                  <c:v>37</c:v>
                </c:pt>
                <c:pt idx="9">
                  <c:v>15</c:v>
                </c:pt>
                <c:pt idx="10">
                  <c:v>22</c:v>
                </c:pt>
                <c:pt idx="11">
                  <c:v>36</c:v>
                </c:pt>
                <c:pt idx="12">
                  <c:v>15</c:v>
                </c:pt>
                <c:pt idx="13">
                  <c:v>48</c:v>
                </c:pt>
                <c:pt idx="14">
                  <c:v>15</c:v>
                </c:pt>
                <c:pt idx="15">
                  <c:v>36</c:v>
                </c:pt>
                <c:pt idx="16">
                  <c:v>8</c:v>
                </c:pt>
                <c:pt idx="17">
                  <c:v>34</c:v>
                </c:pt>
                <c:pt idx="18">
                  <c:v>3</c:v>
                </c:pt>
                <c:pt idx="19">
                  <c:v>37</c:v>
                </c:pt>
              </c:numCache>
            </c:numRef>
          </c:yVal>
          <c:smooth val="0"/>
          <c:extLst>
            <c:ext xmlns:c16="http://schemas.microsoft.com/office/drawing/2014/chart" uri="{C3380CC4-5D6E-409C-BE32-E72D297353CC}">
              <c16:uniqueId val="{00000001-0E09-2F49-B555-E75D7945F530}"/>
            </c:ext>
          </c:extLst>
        </c:ser>
        <c:ser>
          <c:idx val="1"/>
          <c:order val="1"/>
          <c:tx>
            <c:v>Predicted Y</c:v>
          </c:tx>
          <c:spPr>
            <a:ln w="19050">
              <a:noFill/>
            </a:ln>
          </c:spPr>
          <c:xVal>
            <c:numRef>
              <c:f>'Question 2'!$D$2:$D$21</c:f>
              <c:numCache>
                <c:formatCode>General</c:formatCode>
                <c:ptCount val="20"/>
                <c:pt idx="0">
                  <c:v>0</c:v>
                </c:pt>
                <c:pt idx="1">
                  <c:v>0</c:v>
                </c:pt>
                <c:pt idx="2">
                  <c:v>0</c:v>
                </c:pt>
                <c:pt idx="3">
                  <c:v>1</c:v>
                </c:pt>
                <c:pt idx="4">
                  <c:v>0</c:v>
                </c:pt>
                <c:pt idx="5">
                  <c:v>1</c:v>
                </c:pt>
                <c:pt idx="6">
                  <c:v>1</c:v>
                </c:pt>
                <c:pt idx="7">
                  <c:v>0</c:v>
                </c:pt>
                <c:pt idx="8">
                  <c:v>1</c:v>
                </c:pt>
                <c:pt idx="9">
                  <c:v>0</c:v>
                </c:pt>
                <c:pt idx="10">
                  <c:v>0</c:v>
                </c:pt>
                <c:pt idx="11">
                  <c:v>1</c:v>
                </c:pt>
                <c:pt idx="12">
                  <c:v>1</c:v>
                </c:pt>
                <c:pt idx="13">
                  <c:v>1</c:v>
                </c:pt>
                <c:pt idx="14">
                  <c:v>0</c:v>
                </c:pt>
                <c:pt idx="15">
                  <c:v>1</c:v>
                </c:pt>
                <c:pt idx="16">
                  <c:v>0</c:v>
                </c:pt>
                <c:pt idx="17">
                  <c:v>1</c:v>
                </c:pt>
                <c:pt idx="18">
                  <c:v>0</c:v>
                </c:pt>
                <c:pt idx="19">
                  <c:v>1</c:v>
                </c:pt>
              </c:numCache>
            </c:numRef>
          </c:xVal>
          <c:yVal>
            <c:numRef>
              <c:f>'Question 2'!$B$52:$B$71</c:f>
              <c:numCache>
                <c:formatCode>General</c:formatCode>
                <c:ptCount val="20"/>
                <c:pt idx="0">
                  <c:v>7.8903896078429927</c:v>
                </c:pt>
                <c:pt idx="1">
                  <c:v>21.427748371333788</c:v>
                </c:pt>
                <c:pt idx="2">
                  <c:v>9.7225710819607727</c:v>
                </c:pt>
                <c:pt idx="3">
                  <c:v>54.151088117314515</c:v>
                </c:pt>
                <c:pt idx="4">
                  <c:v>21.123664511452542</c:v>
                </c:pt>
                <c:pt idx="5">
                  <c:v>46.405439221550083</c:v>
                </c:pt>
                <c:pt idx="6">
                  <c:v>16.308960024450389</c:v>
                </c:pt>
                <c:pt idx="7">
                  <c:v>22.44392067588138</c:v>
                </c:pt>
                <c:pt idx="8">
                  <c:v>37.114475932371633</c:v>
                </c:pt>
                <c:pt idx="9">
                  <c:v>16.90402428066486</c:v>
                </c:pt>
                <c:pt idx="10">
                  <c:v>22.964764400078543</c:v>
                </c:pt>
                <c:pt idx="11">
                  <c:v>35.915977321863089</c:v>
                </c:pt>
                <c:pt idx="12">
                  <c:v>23.116842196724338</c:v>
                </c:pt>
                <c:pt idx="13">
                  <c:v>52.51844972833517</c:v>
                </c:pt>
                <c:pt idx="14">
                  <c:v>22.955845985570321</c:v>
                </c:pt>
                <c:pt idx="15">
                  <c:v>35.238942485390673</c:v>
                </c:pt>
                <c:pt idx="16">
                  <c:v>21.106447732275061</c:v>
                </c:pt>
                <c:pt idx="17">
                  <c:v>34.59634120727322</c:v>
                </c:pt>
                <c:pt idx="18">
                  <c:v>4.4606233529397965</c:v>
                </c:pt>
                <c:pt idx="19">
                  <c:v>32.633483764726918</c:v>
                </c:pt>
              </c:numCache>
            </c:numRef>
          </c:yVal>
          <c:smooth val="0"/>
          <c:extLst>
            <c:ext xmlns:c16="http://schemas.microsoft.com/office/drawing/2014/chart" uri="{C3380CC4-5D6E-409C-BE32-E72D297353CC}">
              <c16:uniqueId val="{00000002-0E09-2F49-B555-E75D7945F530}"/>
            </c:ext>
          </c:extLst>
        </c:ser>
        <c:dLbls>
          <c:showLegendKey val="0"/>
          <c:showVal val="0"/>
          <c:showCatName val="0"/>
          <c:showSerName val="0"/>
          <c:showPercent val="0"/>
          <c:showBubbleSize val="0"/>
        </c:dLbls>
        <c:axId val="763050288"/>
        <c:axId val="763052000"/>
      </c:scatterChart>
      <c:valAx>
        <c:axId val="763050288"/>
        <c:scaling>
          <c:orientation val="minMax"/>
        </c:scaling>
        <c:delete val="0"/>
        <c:axPos val="b"/>
        <c:title>
          <c:tx>
            <c:rich>
              <a:bodyPr/>
              <a:lstStyle/>
              <a:p>
                <a:pPr>
                  <a:defRPr/>
                </a:pPr>
                <a:r>
                  <a:rPr lang="en-US"/>
                  <a:t>X Variable 3</a:t>
                </a:r>
              </a:p>
            </c:rich>
          </c:tx>
          <c:overlay val="0"/>
        </c:title>
        <c:numFmt formatCode="General" sourceLinked="1"/>
        <c:majorTickMark val="out"/>
        <c:minorTickMark val="none"/>
        <c:tickLblPos val="nextTo"/>
        <c:crossAx val="763052000"/>
        <c:crosses val="autoZero"/>
        <c:crossBetween val="midCat"/>
      </c:valAx>
      <c:valAx>
        <c:axId val="763052000"/>
        <c:scaling>
          <c:orientation val="minMax"/>
        </c:scaling>
        <c:delete val="0"/>
        <c:axPos val="l"/>
        <c:title>
          <c:tx>
            <c:rich>
              <a:bodyPr/>
              <a:lstStyle/>
              <a:p>
                <a:pPr>
                  <a:defRPr/>
                </a:pPr>
                <a:r>
                  <a:rPr lang="en-US"/>
                  <a:t>Y</a:t>
                </a:r>
              </a:p>
            </c:rich>
          </c:tx>
          <c:overlay val="0"/>
        </c:title>
        <c:numFmt formatCode="General" sourceLinked="1"/>
        <c:majorTickMark val="out"/>
        <c:minorTickMark val="none"/>
        <c:tickLblPos val="nextTo"/>
        <c:crossAx val="763050288"/>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oneCellAnchor>
    <xdr:from>
      <xdr:col>6</xdr:col>
      <xdr:colOff>76200</xdr:colOff>
      <xdr:row>0</xdr:row>
      <xdr:rowOff>133350</xdr:rowOff>
    </xdr:from>
    <xdr:ext cx="6429375" cy="5000625"/>
    <xdr:sp macro="" textlink="">
      <xdr:nvSpPr>
        <xdr:cNvPr id="2" name="Shape 3">
          <a:extLst>
            <a:ext uri="{FF2B5EF4-FFF2-40B4-BE49-F238E27FC236}">
              <a16:creationId xmlns:a16="http://schemas.microsoft.com/office/drawing/2014/main" id="{944F21F0-02E1-41DD-820D-02060EF03B48}"/>
            </a:ext>
          </a:extLst>
        </xdr:cNvPr>
        <xdr:cNvSpPr txBox="1"/>
      </xdr:nvSpPr>
      <xdr:spPr>
        <a:xfrm>
          <a:off x="3733800" y="133350"/>
          <a:ext cx="6429375" cy="5000625"/>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1. </a:t>
          </a:r>
          <a:r>
            <a:rPr lang="en-US" sz="1100" b="0" i="1">
              <a:effectLst/>
              <a:latin typeface="+mn-lt"/>
              <a:ea typeface="+mn-ea"/>
              <a:cs typeface="+mn-cs"/>
            </a:rPr>
            <a:t>Bicycling World</a:t>
          </a:r>
          <a:r>
            <a:rPr lang="en-US" sz="1100" b="0" i="0">
              <a:effectLst/>
              <a:latin typeface="+mn-lt"/>
              <a:ea typeface="+mn-ea"/>
              <a:cs typeface="+mn-cs"/>
            </a:rPr>
            <a:t>, a magazine devoted to cycling, reviews hundreds of bicycles throughout the year. Its Road-Race category contains reviews of bicycles used by riders primarily interested in racing. One of the most important factors in selecting a bicycle for racing is its weight. The following data show the weight (pounds) and price ($) for ten racing bicycles reviewed by the magazine:</a:t>
          </a:r>
        </a:p>
        <a:p>
          <a:pPr marL="0" lvl="0" indent="0">
            <a:spcBef>
              <a:spcPts val="0"/>
            </a:spcBef>
            <a:spcAft>
              <a:spcPts val="0"/>
            </a:spcAft>
            <a:buNone/>
          </a:pPr>
          <a:endParaRPr lang="en-US" sz="1100" b="0" i="0" baseline="0">
            <a:effectLst/>
            <a:latin typeface="+mn-lt"/>
            <a:ea typeface="+mn-ea"/>
            <a:cs typeface="+mn-cs"/>
          </a:endParaRPr>
        </a:p>
        <a:p>
          <a:r>
            <a:rPr lang="en-US" sz="1100" b="0" i="0">
              <a:effectLst/>
              <a:latin typeface="+mn-lt"/>
              <a:ea typeface="+mn-ea"/>
              <a:cs typeface="+mn-cs"/>
            </a:rPr>
            <a:t>A. Develop a scatter chart with weight as the independent variable. What does the scatter chart indicate about the relationship between the weight and price of these bicycles?</a:t>
          </a:r>
        </a:p>
        <a:p>
          <a:endParaRPr lang="en-US" sz="1100" b="0" i="0">
            <a:effectLst/>
            <a:latin typeface="+mn-lt"/>
            <a:ea typeface="+mn-ea"/>
            <a:cs typeface="+mn-cs"/>
          </a:endParaRPr>
        </a:p>
        <a:p>
          <a:r>
            <a:rPr lang="en-US" sz="1100" b="0" i="0">
              <a:effectLst/>
              <a:latin typeface="+mn-lt"/>
              <a:ea typeface="+mn-ea"/>
              <a:cs typeface="+mn-cs"/>
            </a:rPr>
            <a:t>B. Use the data to develop an estimated regression equation that could be used to estimate the price for a bicycle, given its weight. What is the estimated regression model?</a:t>
          </a:r>
        </a:p>
        <a:p>
          <a:endParaRPr lang="en-US" sz="1100" b="0" i="0">
            <a:effectLst/>
            <a:latin typeface="+mn-lt"/>
            <a:ea typeface="+mn-ea"/>
            <a:cs typeface="+mn-cs"/>
          </a:endParaRPr>
        </a:p>
        <a:p>
          <a:r>
            <a:rPr lang="en-US" sz="1100" b="0" i="0">
              <a:effectLst/>
              <a:latin typeface="+mn-lt"/>
              <a:ea typeface="+mn-ea"/>
              <a:cs typeface="+mn-cs"/>
            </a:rPr>
            <a:t>C. Test whether each of the regression parameters and is equal to zero at a 0.05 level of significance. What are the correct interpretations of the estimated regression parameters? Are these interpretations reasonable?</a:t>
          </a:r>
        </a:p>
        <a:p>
          <a:endParaRPr lang="en-US" sz="1100" b="0" i="0">
            <a:effectLst/>
            <a:latin typeface="+mn-lt"/>
            <a:ea typeface="+mn-ea"/>
            <a:cs typeface="+mn-cs"/>
          </a:endParaRPr>
        </a:p>
        <a:p>
          <a:r>
            <a:rPr lang="en-US" sz="1100" b="0" i="0">
              <a:effectLst/>
              <a:latin typeface="+mn-lt"/>
              <a:ea typeface="+mn-ea"/>
              <a:cs typeface="+mn-cs"/>
            </a:rPr>
            <a:t>D. How much of the variation in the prices of the bicycles in the sample does the regression model you estimated in part b explain?</a:t>
          </a:r>
        </a:p>
        <a:p>
          <a:endParaRPr lang="en-US" sz="1100" b="0" i="0">
            <a:effectLst/>
            <a:latin typeface="+mn-lt"/>
            <a:ea typeface="+mn-ea"/>
            <a:cs typeface="+mn-cs"/>
          </a:endParaRPr>
        </a:p>
        <a:p>
          <a:r>
            <a:rPr lang="en-US" sz="1100" b="0" i="0">
              <a:effectLst/>
              <a:latin typeface="+mn-lt"/>
              <a:ea typeface="+mn-ea"/>
              <a:cs typeface="+mn-cs"/>
            </a:rPr>
            <a:t>E. The manufacturers of the D’Onofrio Pro plan to introduce the 15-pound D’Onofrio Elite bicycle later this year. Use the regression model you estimated in part a to predict the price of the D’Ononfrio Elite.</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F. The owner of Michele's Bikes of Nesika Beach, Oregon is trying to decide in advance whether to make room for the D'Onofrio Elite bicycle in its inventory. She is convinced that she will not be able to sell the D'Onofrio Elite for more than $7,000 and so she will not make room in her inventory for the bicycle unless its estimated price is less than $7,000. Under this condition and using the regression model you estimated in part (A), what decision should the owner of Michele's Bikes make?</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twoCellAnchor>
    <xdr:from>
      <xdr:col>15</xdr:col>
      <xdr:colOff>669576</xdr:colOff>
      <xdr:row>2</xdr:row>
      <xdr:rowOff>139509</xdr:rowOff>
    </xdr:from>
    <xdr:to>
      <xdr:col>22</xdr:col>
      <xdr:colOff>557598</xdr:colOff>
      <xdr:row>9</xdr:row>
      <xdr:rowOff>66969</xdr:rowOff>
    </xdr:to>
    <xdr:graphicFrame macro="">
      <xdr:nvGraphicFramePr>
        <xdr:cNvPr id="4" name="Chart 3">
          <a:extLst>
            <a:ext uri="{FF2B5EF4-FFF2-40B4-BE49-F238E27FC236}">
              <a16:creationId xmlns:a16="http://schemas.microsoft.com/office/drawing/2014/main" id="{46DFD032-1F07-879A-8612-2B4152BBAC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40640</xdr:colOff>
      <xdr:row>9</xdr:row>
      <xdr:rowOff>274320</xdr:rowOff>
    </xdr:from>
    <xdr:to>
      <xdr:col>19</xdr:col>
      <xdr:colOff>660400</xdr:colOff>
      <xdr:row>12</xdr:row>
      <xdr:rowOff>0</xdr:rowOff>
    </xdr:to>
    <xdr:sp macro="" textlink="">
      <xdr:nvSpPr>
        <xdr:cNvPr id="5" name="TextBox 4">
          <a:extLst>
            <a:ext uri="{FF2B5EF4-FFF2-40B4-BE49-F238E27FC236}">
              <a16:creationId xmlns:a16="http://schemas.microsoft.com/office/drawing/2014/main" id="{590281B2-D950-0E9F-EABD-977F8462BAEC}"/>
            </a:ext>
          </a:extLst>
        </xdr:cNvPr>
        <xdr:cNvSpPr txBox="1"/>
      </xdr:nvSpPr>
      <xdr:spPr>
        <a:xfrm>
          <a:off x="12618720" y="3525520"/>
          <a:ext cx="2631440" cy="7924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t>A.</a:t>
          </a:r>
          <a:r>
            <a:rPr lang="en-US" sz="1100" kern="1200" baseline="0"/>
            <a:t> </a:t>
          </a:r>
          <a:r>
            <a:rPr lang="en-US"/>
            <a:t>The data suggests that as weight decreases, the price tends to increase, indicating a negative correlation between weight and price.</a:t>
          </a:r>
          <a:endParaRPr lang="en-US" sz="1100" kern="1200"/>
        </a:p>
      </xdr:txBody>
    </xdr:sp>
    <xdr:clientData/>
  </xdr:twoCellAnchor>
  <xdr:twoCellAnchor>
    <xdr:from>
      <xdr:col>16</xdr:col>
      <xdr:colOff>60960</xdr:colOff>
      <xdr:row>12</xdr:row>
      <xdr:rowOff>60960</xdr:rowOff>
    </xdr:from>
    <xdr:to>
      <xdr:col>20</xdr:col>
      <xdr:colOff>10160</xdr:colOff>
      <xdr:row>16</xdr:row>
      <xdr:rowOff>20320</xdr:rowOff>
    </xdr:to>
    <xdr:sp macro="" textlink="">
      <xdr:nvSpPr>
        <xdr:cNvPr id="6" name="TextBox 5">
          <a:extLst>
            <a:ext uri="{FF2B5EF4-FFF2-40B4-BE49-F238E27FC236}">
              <a16:creationId xmlns:a16="http://schemas.microsoft.com/office/drawing/2014/main" id="{A8C991E9-FB1B-A3A9-60D4-C315413F3A07}"/>
            </a:ext>
          </a:extLst>
        </xdr:cNvPr>
        <xdr:cNvSpPr txBox="1"/>
      </xdr:nvSpPr>
      <xdr:spPr>
        <a:xfrm>
          <a:off x="12639040" y="4378960"/>
          <a:ext cx="2631440" cy="7416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t>B.  </a:t>
          </a:r>
          <a:r>
            <a:rPr lang="en-US"/>
            <a:t>Price = 28820 − 1439 ⋅ Weight</a:t>
          </a:r>
          <a:endParaRPr lang="en-US" sz="1100" kern="1200"/>
        </a:p>
      </xdr:txBody>
    </xdr:sp>
    <xdr:clientData/>
  </xdr:twoCellAnchor>
  <xdr:twoCellAnchor>
    <xdr:from>
      <xdr:col>16</xdr:col>
      <xdr:colOff>71120</xdr:colOff>
      <xdr:row>16</xdr:row>
      <xdr:rowOff>101600</xdr:rowOff>
    </xdr:from>
    <xdr:to>
      <xdr:col>19</xdr:col>
      <xdr:colOff>660400</xdr:colOff>
      <xdr:row>22</xdr:row>
      <xdr:rowOff>182880</xdr:rowOff>
    </xdr:to>
    <xdr:sp macro="" textlink="">
      <xdr:nvSpPr>
        <xdr:cNvPr id="7" name="TextBox 6">
          <a:extLst>
            <a:ext uri="{FF2B5EF4-FFF2-40B4-BE49-F238E27FC236}">
              <a16:creationId xmlns:a16="http://schemas.microsoft.com/office/drawing/2014/main" id="{39B41DEA-0D90-51D2-7A5B-C3B5F23B4B0A}"/>
            </a:ext>
          </a:extLst>
        </xdr:cNvPr>
        <xdr:cNvSpPr txBox="1"/>
      </xdr:nvSpPr>
      <xdr:spPr>
        <a:xfrm>
          <a:off x="12649200" y="5201920"/>
          <a:ext cx="2600960" cy="12496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t>C. </a:t>
          </a:r>
          <a:r>
            <a:rPr lang="en-US"/>
            <a:t>The p-values for both the intercept and slope are very low (p &lt; 0.05), which suggests that both parameters are significantly different from zero. This indicates that weight is a significant to the</a:t>
          </a:r>
          <a:r>
            <a:rPr lang="en-US" baseline="0"/>
            <a:t> price of a the bicycle.</a:t>
          </a:r>
          <a:endParaRPr lang="en-US" sz="1100" kern="1200"/>
        </a:p>
      </xdr:txBody>
    </xdr:sp>
    <xdr:clientData/>
  </xdr:twoCellAnchor>
  <xdr:twoCellAnchor>
    <xdr:from>
      <xdr:col>16</xdr:col>
      <xdr:colOff>81280</xdr:colOff>
      <xdr:row>23</xdr:row>
      <xdr:rowOff>50800</xdr:rowOff>
    </xdr:from>
    <xdr:to>
      <xdr:col>20</xdr:col>
      <xdr:colOff>0</xdr:colOff>
      <xdr:row>27</xdr:row>
      <xdr:rowOff>0</xdr:rowOff>
    </xdr:to>
    <xdr:sp macro="" textlink="">
      <xdr:nvSpPr>
        <xdr:cNvPr id="8" name="TextBox 7">
          <a:extLst>
            <a:ext uri="{FF2B5EF4-FFF2-40B4-BE49-F238E27FC236}">
              <a16:creationId xmlns:a16="http://schemas.microsoft.com/office/drawing/2014/main" id="{341AAC1A-FB1D-198A-77C7-733D8E690AE1}"/>
            </a:ext>
          </a:extLst>
        </xdr:cNvPr>
        <xdr:cNvSpPr txBox="1"/>
      </xdr:nvSpPr>
      <xdr:spPr>
        <a:xfrm>
          <a:off x="12659360" y="6522720"/>
          <a:ext cx="2600960" cy="731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t>D.With</a:t>
          </a:r>
          <a:r>
            <a:rPr lang="en-US" sz="1100" kern="1200" baseline="0"/>
            <a:t> the R-squared model, it is 86.3, which means that the bicylcle prices and weight correlate in the model.</a:t>
          </a:r>
          <a:endParaRPr lang="en-US" sz="1100" kern="1200"/>
        </a:p>
      </xdr:txBody>
    </xdr:sp>
    <xdr:clientData/>
  </xdr:twoCellAnchor>
  <xdr:twoCellAnchor>
    <xdr:from>
      <xdr:col>16</xdr:col>
      <xdr:colOff>91440</xdr:colOff>
      <xdr:row>27</xdr:row>
      <xdr:rowOff>81280</xdr:rowOff>
    </xdr:from>
    <xdr:to>
      <xdr:col>19</xdr:col>
      <xdr:colOff>629920</xdr:colOff>
      <xdr:row>30</xdr:row>
      <xdr:rowOff>132080</xdr:rowOff>
    </xdr:to>
    <xdr:sp macro="" textlink="">
      <xdr:nvSpPr>
        <xdr:cNvPr id="9" name="TextBox 8">
          <a:extLst>
            <a:ext uri="{FF2B5EF4-FFF2-40B4-BE49-F238E27FC236}">
              <a16:creationId xmlns:a16="http://schemas.microsoft.com/office/drawing/2014/main" id="{ED1B19AA-D498-1620-10C8-59264388CE18}"/>
            </a:ext>
          </a:extLst>
        </xdr:cNvPr>
        <xdr:cNvSpPr txBox="1"/>
      </xdr:nvSpPr>
      <xdr:spPr>
        <a:xfrm>
          <a:off x="12669520" y="7335520"/>
          <a:ext cx="2550160" cy="640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t>E. </a:t>
          </a:r>
          <a:r>
            <a:rPr lang="en-US"/>
            <a:t>Price = 28820 − 1439 ⋅ 15 = 7235</a:t>
          </a:r>
          <a:endParaRPr lang="en-US" sz="1100" kern="1200"/>
        </a:p>
      </xdr:txBody>
    </xdr:sp>
    <xdr:clientData/>
  </xdr:twoCellAnchor>
  <xdr:twoCellAnchor>
    <xdr:from>
      <xdr:col>16</xdr:col>
      <xdr:colOff>101600</xdr:colOff>
      <xdr:row>31</xdr:row>
      <xdr:rowOff>10160</xdr:rowOff>
    </xdr:from>
    <xdr:to>
      <xdr:col>19</xdr:col>
      <xdr:colOff>599440</xdr:colOff>
      <xdr:row>35</xdr:row>
      <xdr:rowOff>172720</xdr:rowOff>
    </xdr:to>
    <xdr:sp macro="" textlink="">
      <xdr:nvSpPr>
        <xdr:cNvPr id="10" name="TextBox 9">
          <a:extLst>
            <a:ext uri="{FF2B5EF4-FFF2-40B4-BE49-F238E27FC236}">
              <a16:creationId xmlns:a16="http://schemas.microsoft.com/office/drawing/2014/main" id="{51165BAC-DE8E-7D05-60E2-8C095BCDE9EC}"/>
            </a:ext>
          </a:extLst>
        </xdr:cNvPr>
        <xdr:cNvSpPr txBox="1"/>
      </xdr:nvSpPr>
      <xdr:spPr>
        <a:xfrm>
          <a:off x="12679680" y="8056880"/>
          <a:ext cx="2509520" cy="934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t>F.   </a:t>
          </a:r>
          <a:r>
            <a:rPr lang="en-US"/>
            <a:t>Price = 28820 − 1439 ⋅ 15 = 7235</a:t>
          </a:r>
        </a:p>
        <a:p>
          <a:r>
            <a:rPr lang="en-US"/>
            <a:t>The estimated</a:t>
          </a:r>
          <a:r>
            <a:rPr lang="en-US" baseline="0"/>
            <a:t> price exceed her threshold of 7,000 so she should not make room in her inventory</a:t>
          </a:r>
          <a:endParaRPr lang="en-US"/>
        </a:p>
        <a:p>
          <a:endParaRPr lang="en-US" sz="1100" kern="1200"/>
        </a:p>
        <a:p>
          <a:endParaRPr lang="en-US" sz="1100" kern="1200"/>
        </a:p>
      </xdr:txBody>
    </xdr:sp>
    <xdr:clientData/>
  </xdr:twoCellAnchor>
  <xdr:twoCellAnchor>
    <xdr:from>
      <xdr:col>9</xdr:col>
      <xdr:colOff>139700</xdr:colOff>
      <xdr:row>24</xdr:row>
      <xdr:rowOff>20320</xdr:rowOff>
    </xdr:from>
    <xdr:to>
      <xdr:col>15</xdr:col>
      <xdr:colOff>546100</xdr:colOff>
      <xdr:row>34</xdr:row>
      <xdr:rowOff>20320</xdr:rowOff>
    </xdr:to>
    <xdr:graphicFrame macro="">
      <xdr:nvGraphicFramePr>
        <xdr:cNvPr id="11" name="Chart 10">
          <a:extLst>
            <a:ext uri="{FF2B5EF4-FFF2-40B4-BE49-F238E27FC236}">
              <a16:creationId xmlns:a16="http://schemas.microsoft.com/office/drawing/2014/main" id="{CABED25F-D104-2776-F3BA-F62252BFB3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464820</xdr:colOff>
      <xdr:row>33</xdr:row>
      <xdr:rowOff>0</xdr:rowOff>
    </xdr:from>
    <xdr:to>
      <xdr:col>9</xdr:col>
      <xdr:colOff>231140</xdr:colOff>
      <xdr:row>43</xdr:row>
      <xdr:rowOff>10160</xdr:rowOff>
    </xdr:to>
    <xdr:graphicFrame macro="">
      <xdr:nvGraphicFramePr>
        <xdr:cNvPr id="12" name="Chart 11">
          <a:extLst>
            <a:ext uri="{FF2B5EF4-FFF2-40B4-BE49-F238E27FC236}">
              <a16:creationId xmlns:a16="http://schemas.microsoft.com/office/drawing/2014/main" id="{4431324F-BD81-8DF2-97C4-AF961AAD88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6</xdr:col>
      <xdr:colOff>190500</xdr:colOff>
      <xdr:row>0</xdr:row>
      <xdr:rowOff>180975</xdr:rowOff>
    </xdr:from>
    <xdr:ext cx="6429375" cy="5000625"/>
    <xdr:sp macro="" textlink="">
      <xdr:nvSpPr>
        <xdr:cNvPr id="2" name="Shape 3">
          <a:extLst>
            <a:ext uri="{FF2B5EF4-FFF2-40B4-BE49-F238E27FC236}">
              <a16:creationId xmlns:a16="http://schemas.microsoft.com/office/drawing/2014/main" id="{37CFE39B-1834-4460-AB42-341A6A78BCC4}"/>
            </a:ext>
          </a:extLst>
        </xdr:cNvPr>
        <xdr:cNvSpPr txBox="1"/>
      </xdr:nvSpPr>
      <xdr:spPr>
        <a:xfrm>
          <a:off x="3848100" y="180975"/>
          <a:ext cx="6429375" cy="5000625"/>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2. </a:t>
          </a:r>
          <a:r>
            <a:rPr lang="en-US" sz="1100" b="0" i="0">
              <a:effectLst/>
              <a:latin typeface="+mn-lt"/>
              <a:ea typeface="+mn-ea"/>
              <a:cs typeface="+mn-cs"/>
            </a:rPr>
            <a:t>A recent 10-year study conducted by a research team at the Great Falls Medical School was conducted to assess how age, systolic blood pressure, and smoking relate to the risk of strokes. Assume that the following data are from a portion of this study. Risk is interpreted as the probability (times 100) that the patient will have a stroke over the next 10-year period. For the smoking variable, define a dummy variable with 1 indicating a smoker and 0 indicating a nonsmoker.</a:t>
          </a:r>
        </a:p>
        <a:p>
          <a:pPr marL="0" lvl="0" indent="0">
            <a:spcBef>
              <a:spcPts val="0"/>
            </a:spcBef>
            <a:spcAft>
              <a:spcPts val="0"/>
            </a:spcAft>
            <a:buNone/>
          </a:pPr>
          <a:endParaRPr lang="en-US" sz="1100" b="0" i="0" baseline="0">
            <a:effectLst/>
            <a:latin typeface="+mn-lt"/>
            <a:ea typeface="+mn-ea"/>
            <a:cs typeface="+mn-cs"/>
          </a:endParaRPr>
        </a:p>
        <a:p>
          <a:pPr marL="0" lvl="0" indent="0">
            <a:spcBef>
              <a:spcPts val="0"/>
            </a:spcBef>
            <a:spcAft>
              <a:spcPts val="0"/>
            </a:spcAft>
            <a:buNone/>
          </a:pPr>
          <a:r>
            <a:rPr lang="en-US" sz="1100" b="0" i="0" baseline="0">
              <a:effectLst/>
              <a:latin typeface="+mn-lt"/>
              <a:ea typeface="+mn-ea"/>
              <a:cs typeface="+mn-cs"/>
            </a:rPr>
            <a:t>A. </a:t>
          </a:r>
          <a:r>
            <a:rPr lang="en-US" sz="1100" b="0" i="0">
              <a:effectLst/>
              <a:latin typeface="+mn-lt"/>
              <a:ea typeface="+mn-ea"/>
              <a:cs typeface="+mn-cs"/>
            </a:rPr>
            <a:t>Develop an estimated multiple regression equation that relates risk of a stroke to the person's age, systolic blood pressure, and whether the person is a smoker.</a:t>
          </a:r>
        </a:p>
        <a:p>
          <a:pPr marL="0" lvl="0" indent="0">
            <a:spcBef>
              <a:spcPts val="0"/>
            </a:spcBef>
            <a:spcAft>
              <a:spcPts val="0"/>
            </a:spcAft>
            <a:buNone/>
          </a:pPr>
          <a:endParaRPr lang="en-US" sz="1100" b="0" i="0" baseline="0">
            <a:effectLst/>
            <a:latin typeface="+mn-lt"/>
            <a:ea typeface="+mn-ea"/>
            <a:cs typeface="+mn-cs"/>
          </a:endParaRPr>
        </a:p>
        <a:p>
          <a:pPr marL="0" lvl="0" indent="0">
            <a:spcBef>
              <a:spcPts val="0"/>
            </a:spcBef>
            <a:spcAft>
              <a:spcPts val="0"/>
            </a:spcAft>
            <a:buNone/>
          </a:pPr>
          <a:r>
            <a:rPr lang="en-US" sz="1100" b="0" i="0" baseline="0">
              <a:effectLst/>
              <a:latin typeface="+mn-lt"/>
              <a:ea typeface="+mn-ea"/>
              <a:cs typeface="+mn-cs"/>
            </a:rPr>
            <a:t>B. </a:t>
          </a:r>
          <a:r>
            <a:rPr lang="en-US" sz="1100" b="0" i="0">
              <a:effectLst/>
              <a:latin typeface="+mn-lt"/>
              <a:ea typeface="+mn-ea"/>
              <a:cs typeface="+mn-cs"/>
            </a:rPr>
            <a:t>Is smoking a significant factor in the risk of a stroke? Explain. Use a 0.05 level of significance.</a:t>
          </a:r>
        </a:p>
        <a:p>
          <a:pPr marL="0" lvl="0" indent="0">
            <a:spcBef>
              <a:spcPts val="0"/>
            </a:spcBef>
            <a:spcAft>
              <a:spcPts val="0"/>
            </a:spcAft>
            <a:buNone/>
          </a:pPr>
          <a:endParaRPr lang="en-US" sz="1100" b="0" i="0" baseline="0">
            <a:effectLst/>
            <a:latin typeface="+mn-lt"/>
            <a:ea typeface="+mn-ea"/>
            <a:cs typeface="+mn-cs"/>
          </a:endParaRPr>
        </a:p>
        <a:p>
          <a:pPr marL="0" lvl="0" indent="0">
            <a:spcBef>
              <a:spcPts val="0"/>
            </a:spcBef>
            <a:spcAft>
              <a:spcPts val="0"/>
            </a:spcAft>
            <a:buNone/>
          </a:pPr>
          <a:r>
            <a:rPr lang="en-US" sz="1100" b="0" i="0" baseline="0">
              <a:effectLst/>
              <a:latin typeface="+mn-lt"/>
              <a:ea typeface="+mn-ea"/>
              <a:cs typeface="+mn-cs"/>
            </a:rPr>
            <a:t>C. </a:t>
          </a:r>
          <a:r>
            <a:rPr lang="en-US" sz="1100" b="0" i="0">
              <a:effectLst/>
              <a:latin typeface="+mn-lt"/>
              <a:ea typeface="+mn-ea"/>
              <a:cs typeface="+mn-cs"/>
            </a:rPr>
            <a:t>What is the probability of a stroke over the next ten years for Art Speen, a 68-yearold smoker who has systolic blood pressure of 175? What action might the physician recommend for this patient?</a:t>
          </a:r>
        </a:p>
        <a:p>
          <a:pPr marL="0" lvl="0" indent="0">
            <a:spcBef>
              <a:spcPts val="0"/>
            </a:spcBef>
            <a:spcAft>
              <a:spcPts val="0"/>
            </a:spcAft>
            <a:buNone/>
          </a:pPr>
          <a:endParaRPr lang="en-US" sz="1100" b="0" i="0" baseline="0">
            <a:effectLst/>
            <a:latin typeface="+mn-lt"/>
            <a:ea typeface="+mn-ea"/>
            <a:cs typeface="+mn-cs"/>
          </a:endParaRPr>
        </a:p>
        <a:p>
          <a:pPr marL="0" lvl="0" indent="0">
            <a:spcBef>
              <a:spcPts val="0"/>
            </a:spcBef>
            <a:spcAft>
              <a:spcPts val="0"/>
            </a:spcAft>
            <a:buNone/>
          </a:pPr>
          <a:r>
            <a:rPr lang="en-US" sz="1100" b="0" i="0" baseline="0">
              <a:effectLst/>
              <a:latin typeface="+mn-lt"/>
              <a:ea typeface="+mn-ea"/>
              <a:cs typeface="+mn-cs"/>
            </a:rPr>
            <a:t>D. </a:t>
          </a:r>
          <a:r>
            <a:rPr lang="en-US" sz="1100" b="0" i="0">
              <a:effectLst/>
              <a:latin typeface="+mn-lt"/>
              <a:ea typeface="+mn-ea"/>
              <a:cs typeface="+mn-cs"/>
            </a:rPr>
            <a:t>An insurance company will only sell its Select policy to people for whom the probability of a stroke in the next ten years is less than .01. If a smoker with a systolic blood pressure of 230 applies for a Select policy, under what condition will the company sell him the policy if it adheres to this standard?</a:t>
          </a:r>
        </a:p>
        <a:p>
          <a:pPr marL="0" lvl="0" indent="0">
            <a:spcBef>
              <a:spcPts val="0"/>
            </a:spcBef>
            <a:spcAft>
              <a:spcPts val="0"/>
            </a:spcAft>
            <a:buNone/>
          </a:pPr>
          <a:endParaRPr lang="en-US" sz="1100" b="0" i="0" baseline="0">
            <a:effectLst/>
            <a:latin typeface="+mn-lt"/>
            <a:ea typeface="+mn-ea"/>
            <a:cs typeface="+mn-cs"/>
          </a:endParaRPr>
        </a:p>
        <a:p>
          <a:pPr marL="0" lvl="0" indent="0">
            <a:spcBef>
              <a:spcPts val="0"/>
            </a:spcBef>
            <a:spcAft>
              <a:spcPts val="0"/>
            </a:spcAft>
            <a:buNone/>
          </a:pPr>
          <a:r>
            <a:rPr lang="en-US" sz="1100" b="0" i="0" baseline="0">
              <a:effectLst/>
              <a:latin typeface="+mn-lt"/>
              <a:ea typeface="+mn-ea"/>
              <a:cs typeface="+mn-cs"/>
            </a:rPr>
            <a:t>E. </a:t>
          </a:r>
          <a:r>
            <a:rPr lang="en-US" sz="1100" b="0" i="0">
              <a:effectLst/>
              <a:latin typeface="+mn-lt"/>
              <a:ea typeface="+mn-ea"/>
              <a:cs typeface="+mn-cs"/>
            </a:rPr>
            <a:t>What other factors could be included in the model as independent variables? Choose the correct answer below.</a:t>
          </a: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twoCellAnchor>
    <xdr:from>
      <xdr:col>16</xdr:col>
      <xdr:colOff>114300</xdr:colOff>
      <xdr:row>0</xdr:row>
      <xdr:rowOff>304800</xdr:rowOff>
    </xdr:from>
    <xdr:to>
      <xdr:col>20</xdr:col>
      <xdr:colOff>368300</xdr:colOff>
      <xdr:row>4</xdr:row>
      <xdr:rowOff>63500</xdr:rowOff>
    </xdr:to>
    <xdr:sp macro="" textlink="">
      <xdr:nvSpPr>
        <xdr:cNvPr id="3" name="TextBox 2">
          <a:extLst>
            <a:ext uri="{FF2B5EF4-FFF2-40B4-BE49-F238E27FC236}">
              <a16:creationId xmlns:a16="http://schemas.microsoft.com/office/drawing/2014/main" id="{B17574A3-8EC7-6F35-84B7-008FB015F1BA}"/>
            </a:ext>
          </a:extLst>
        </xdr:cNvPr>
        <xdr:cNvSpPr txBox="1"/>
      </xdr:nvSpPr>
      <xdr:spPr>
        <a:xfrm>
          <a:off x="10883900" y="304800"/>
          <a:ext cx="2946400" cy="838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t>A. </a:t>
          </a:r>
          <a:r>
            <a:rPr lang="en-US"/>
            <a:t>Risk=b0​+b1​⋅Age+b2​⋅Blood Pressure+b3​⋅Smoking</a:t>
          </a:r>
          <a:endParaRPr lang="en-US" sz="1100" kern="1200"/>
        </a:p>
      </xdr:txBody>
    </xdr:sp>
    <xdr:clientData/>
  </xdr:twoCellAnchor>
  <xdr:twoCellAnchor>
    <xdr:from>
      <xdr:col>16</xdr:col>
      <xdr:colOff>165100</xdr:colOff>
      <xdr:row>4</xdr:row>
      <xdr:rowOff>165100</xdr:rowOff>
    </xdr:from>
    <xdr:to>
      <xdr:col>20</xdr:col>
      <xdr:colOff>368300</xdr:colOff>
      <xdr:row>10</xdr:row>
      <xdr:rowOff>0</xdr:rowOff>
    </xdr:to>
    <xdr:sp macro="" textlink="">
      <xdr:nvSpPr>
        <xdr:cNvPr id="4" name="TextBox 3">
          <a:extLst>
            <a:ext uri="{FF2B5EF4-FFF2-40B4-BE49-F238E27FC236}">
              <a16:creationId xmlns:a16="http://schemas.microsoft.com/office/drawing/2014/main" id="{3CB085CF-5963-03E8-A4C2-AF3C462B1989}"/>
            </a:ext>
          </a:extLst>
        </xdr:cNvPr>
        <xdr:cNvSpPr txBox="1"/>
      </xdr:nvSpPr>
      <xdr:spPr>
        <a:xfrm>
          <a:off x="10934700" y="1206500"/>
          <a:ext cx="2895600" cy="1054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t>B.  </a:t>
          </a:r>
          <a:r>
            <a:rPr lang="en-US"/>
            <a:t>The p-value for the smoking coefficient is 0.012, which is below the 0.05 significance level. This means that smoking is a statistically significant factor in predicting</a:t>
          </a:r>
          <a:r>
            <a:rPr lang="en-US" baseline="0"/>
            <a:t> the</a:t>
          </a:r>
          <a:r>
            <a:rPr lang="en-US"/>
            <a:t> risk of a stroke</a:t>
          </a:r>
          <a:endParaRPr lang="en-US" sz="1100" kern="1200"/>
        </a:p>
      </xdr:txBody>
    </xdr:sp>
    <xdr:clientData/>
  </xdr:twoCellAnchor>
  <xdr:twoCellAnchor>
    <xdr:from>
      <xdr:col>20</xdr:col>
      <xdr:colOff>444500</xdr:colOff>
      <xdr:row>8</xdr:row>
      <xdr:rowOff>101600</xdr:rowOff>
    </xdr:from>
    <xdr:to>
      <xdr:col>25</xdr:col>
      <xdr:colOff>0</xdr:colOff>
      <xdr:row>13</xdr:row>
      <xdr:rowOff>101600</xdr:rowOff>
    </xdr:to>
    <xdr:sp macro="" textlink="">
      <xdr:nvSpPr>
        <xdr:cNvPr id="5" name="TextBox 4">
          <a:extLst>
            <a:ext uri="{FF2B5EF4-FFF2-40B4-BE49-F238E27FC236}">
              <a16:creationId xmlns:a16="http://schemas.microsoft.com/office/drawing/2014/main" id="{43AE7CA4-D0AE-B965-0E7C-AE25BB8BEBAC}"/>
            </a:ext>
          </a:extLst>
        </xdr:cNvPr>
        <xdr:cNvSpPr txBox="1"/>
      </xdr:nvSpPr>
      <xdr:spPr>
        <a:xfrm>
          <a:off x="13906500" y="1955800"/>
          <a:ext cx="2921000" cy="1016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t>C. </a:t>
          </a:r>
          <a:r>
            <a:rPr lang="en-US"/>
            <a:t>Risk=−91.76+(1.08⋅68)+(0.25⋅175)+(8.74⋅1) -=34.17</a:t>
          </a:r>
          <a:endParaRPr lang="en-US" sz="1100" kern="1200"/>
        </a:p>
        <a:p>
          <a:r>
            <a:rPr lang="en-US" sz="1100" kern="1200"/>
            <a:t>The</a:t>
          </a:r>
          <a:r>
            <a:rPr lang="en-US" sz="1100" kern="1200" baseline="0"/>
            <a:t> risk over the next 10 years if 34.17%</a:t>
          </a:r>
        </a:p>
        <a:p>
          <a:r>
            <a:rPr lang="en-US" sz="1100" kern="1200" baseline="0"/>
            <a:t>He can quit smoking or take medication for blood pressure</a:t>
          </a:r>
          <a:endParaRPr lang="en-US" sz="1100" kern="1200"/>
        </a:p>
      </xdr:txBody>
    </xdr:sp>
    <xdr:clientData/>
  </xdr:twoCellAnchor>
  <xdr:twoCellAnchor>
    <xdr:from>
      <xdr:col>17</xdr:col>
      <xdr:colOff>254000</xdr:colOff>
      <xdr:row>13</xdr:row>
      <xdr:rowOff>152400</xdr:rowOff>
    </xdr:from>
    <xdr:to>
      <xdr:col>21</xdr:col>
      <xdr:colOff>546100</xdr:colOff>
      <xdr:row>17</xdr:row>
      <xdr:rowOff>177800</xdr:rowOff>
    </xdr:to>
    <xdr:sp macro="" textlink="">
      <xdr:nvSpPr>
        <xdr:cNvPr id="6" name="TextBox 5">
          <a:extLst>
            <a:ext uri="{FF2B5EF4-FFF2-40B4-BE49-F238E27FC236}">
              <a16:creationId xmlns:a16="http://schemas.microsoft.com/office/drawing/2014/main" id="{2F49E21A-5110-3CF2-7ACD-05F5EBC89FD5}"/>
            </a:ext>
          </a:extLst>
        </xdr:cNvPr>
        <xdr:cNvSpPr txBox="1"/>
      </xdr:nvSpPr>
      <xdr:spPr>
        <a:xfrm>
          <a:off x="11696700" y="3022600"/>
          <a:ext cx="2984500" cy="838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t>D.  his chance of having</a:t>
          </a:r>
          <a:r>
            <a:rPr lang="en-US" sz="1100" kern="1200" baseline="0"/>
            <a:t> a stroke above .01 so he does not apply for the policy.</a:t>
          </a:r>
        </a:p>
        <a:p>
          <a:endParaRPr lang="en-US" sz="1100" kern="1200" baseline="0"/>
        </a:p>
        <a:p>
          <a:r>
            <a:rPr lang="en-US"/>
            <a:t>−91.76+0.62⋅Age+0.43⋅230+8.74</a:t>
          </a:r>
          <a:endParaRPr lang="en-US" sz="1100" kern="1200"/>
        </a:p>
      </xdr:txBody>
    </xdr:sp>
    <xdr:clientData/>
  </xdr:twoCellAnchor>
  <xdr:twoCellAnchor>
    <xdr:from>
      <xdr:col>19</xdr:col>
      <xdr:colOff>381000</xdr:colOff>
      <xdr:row>18</xdr:row>
      <xdr:rowOff>50800</xdr:rowOff>
    </xdr:from>
    <xdr:to>
      <xdr:col>23</xdr:col>
      <xdr:colOff>635000</xdr:colOff>
      <xdr:row>22</xdr:row>
      <xdr:rowOff>101600</xdr:rowOff>
    </xdr:to>
    <xdr:sp macro="" textlink="">
      <xdr:nvSpPr>
        <xdr:cNvPr id="7" name="TextBox 6">
          <a:extLst>
            <a:ext uri="{FF2B5EF4-FFF2-40B4-BE49-F238E27FC236}">
              <a16:creationId xmlns:a16="http://schemas.microsoft.com/office/drawing/2014/main" id="{2A8B49A8-8AE2-7155-870D-91AD72AD3F3D}"/>
            </a:ext>
          </a:extLst>
        </xdr:cNvPr>
        <xdr:cNvSpPr txBox="1"/>
      </xdr:nvSpPr>
      <xdr:spPr>
        <a:xfrm>
          <a:off x="13169900" y="3937000"/>
          <a:ext cx="2946400" cy="850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t>E. </a:t>
          </a:r>
          <a:r>
            <a:rPr lang="en-US"/>
            <a:t>Possible variables could include cholesterol level, family history of strokes, physical activity, diet, and or stress levels</a:t>
          </a:r>
          <a:endParaRPr lang="en-US" sz="1100" kern="1200"/>
        </a:p>
      </xdr:txBody>
    </xdr:sp>
    <xdr:clientData/>
  </xdr:twoCellAnchor>
  <xdr:twoCellAnchor>
    <xdr:from>
      <xdr:col>9</xdr:col>
      <xdr:colOff>279400</xdr:colOff>
      <xdr:row>15</xdr:row>
      <xdr:rowOff>190500</xdr:rowOff>
    </xdr:from>
    <xdr:to>
      <xdr:col>15</xdr:col>
      <xdr:colOff>279400</xdr:colOff>
      <xdr:row>25</xdr:row>
      <xdr:rowOff>152400</xdr:rowOff>
    </xdr:to>
    <xdr:graphicFrame macro="">
      <xdr:nvGraphicFramePr>
        <xdr:cNvPr id="8" name="Chart 7">
          <a:extLst>
            <a:ext uri="{FF2B5EF4-FFF2-40B4-BE49-F238E27FC236}">
              <a16:creationId xmlns:a16="http://schemas.microsoft.com/office/drawing/2014/main" id="{8D28941C-DF1C-2CA4-12D6-54FCE6C6F1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279400</xdr:colOff>
      <xdr:row>17</xdr:row>
      <xdr:rowOff>177800</xdr:rowOff>
    </xdr:from>
    <xdr:to>
      <xdr:col>16</xdr:col>
      <xdr:colOff>279400</xdr:colOff>
      <xdr:row>27</xdr:row>
      <xdr:rowOff>139700</xdr:rowOff>
    </xdr:to>
    <xdr:graphicFrame macro="">
      <xdr:nvGraphicFramePr>
        <xdr:cNvPr id="9" name="Chart 8">
          <a:extLst>
            <a:ext uri="{FF2B5EF4-FFF2-40B4-BE49-F238E27FC236}">
              <a16:creationId xmlns:a16="http://schemas.microsoft.com/office/drawing/2014/main" id="{CA7AA830-2367-E1B3-0183-E698848C68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279400</xdr:colOff>
      <xdr:row>19</xdr:row>
      <xdr:rowOff>152400</xdr:rowOff>
    </xdr:from>
    <xdr:to>
      <xdr:col>17</xdr:col>
      <xdr:colOff>279400</xdr:colOff>
      <xdr:row>29</xdr:row>
      <xdr:rowOff>152400</xdr:rowOff>
    </xdr:to>
    <xdr:graphicFrame macro="">
      <xdr:nvGraphicFramePr>
        <xdr:cNvPr id="10" name="Chart 9">
          <a:extLst>
            <a:ext uri="{FF2B5EF4-FFF2-40B4-BE49-F238E27FC236}">
              <a16:creationId xmlns:a16="http://schemas.microsoft.com/office/drawing/2014/main" id="{8BC95078-FC09-B3B4-1C2E-3885F8E246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279400</xdr:colOff>
      <xdr:row>21</xdr:row>
      <xdr:rowOff>127000</xdr:rowOff>
    </xdr:from>
    <xdr:to>
      <xdr:col>18</xdr:col>
      <xdr:colOff>279400</xdr:colOff>
      <xdr:row>31</xdr:row>
      <xdr:rowOff>165100</xdr:rowOff>
    </xdr:to>
    <xdr:graphicFrame macro="">
      <xdr:nvGraphicFramePr>
        <xdr:cNvPr id="11" name="Chart 10">
          <a:extLst>
            <a:ext uri="{FF2B5EF4-FFF2-40B4-BE49-F238E27FC236}">
              <a16:creationId xmlns:a16="http://schemas.microsoft.com/office/drawing/2014/main" id="{C15BD3F4-B42F-D214-56E0-0C633D3AE0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279400</xdr:colOff>
      <xdr:row>23</xdr:row>
      <xdr:rowOff>139700</xdr:rowOff>
    </xdr:from>
    <xdr:to>
      <xdr:col>19</xdr:col>
      <xdr:colOff>279400</xdr:colOff>
      <xdr:row>33</xdr:row>
      <xdr:rowOff>152400</xdr:rowOff>
    </xdr:to>
    <xdr:graphicFrame macro="">
      <xdr:nvGraphicFramePr>
        <xdr:cNvPr id="12" name="Chart 11">
          <a:extLst>
            <a:ext uri="{FF2B5EF4-FFF2-40B4-BE49-F238E27FC236}">
              <a16:creationId xmlns:a16="http://schemas.microsoft.com/office/drawing/2014/main" id="{89D393DA-3724-DA9F-1D4E-FBB93673A0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279400</xdr:colOff>
      <xdr:row>25</xdr:row>
      <xdr:rowOff>152400</xdr:rowOff>
    </xdr:from>
    <xdr:to>
      <xdr:col>20</xdr:col>
      <xdr:colOff>279400</xdr:colOff>
      <xdr:row>35</xdr:row>
      <xdr:rowOff>152400</xdr:rowOff>
    </xdr:to>
    <xdr:graphicFrame macro="">
      <xdr:nvGraphicFramePr>
        <xdr:cNvPr id="13" name="Chart 12">
          <a:extLst>
            <a:ext uri="{FF2B5EF4-FFF2-40B4-BE49-F238E27FC236}">
              <a16:creationId xmlns:a16="http://schemas.microsoft.com/office/drawing/2014/main" id="{70614278-4F42-6CFB-7535-526B27C0B5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99F01-7AA7-45E1-BA23-65E57B813338}">
  <dimension ref="A1:I47"/>
  <sheetViews>
    <sheetView tabSelected="1" topLeftCell="A13" zoomScale="90" workbookViewId="0">
      <selection activeCell="I36" sqref="I36"/>
    </sheetView>
  </sheetViews>
  <sheetFormatPr baseColWidth="10" defaultColWidth="8.83203125" defaultRowHeight="15" x14ac:dyDescent="0.2"/>
  <cols>
    <col min="1" max="1" width="14.5" customWidth="1"/>
    <col min="2" max="2" width="11" customWidth="1"/>
    <col min="3" max="3" width="13.1640625" customWidth="1"/>
    <col min="4" max="4" width="11.1640625" bestFit="1" customWidth="1"/>
    <col min="5" max="5" width="9" bestFit="1" customWidth="1"/>
    <col min="6" max="6" width="13" customWidth="1"/>
    <col min="7" max="7" width="11" customWidth="1"/>
    <col min="8" max="8" width="10.33203125" customWidth="1"/>
    <col min="9" max="9" width="12.5" customWidth="1"/>
  </cols>
  <sheetData>
    <row r="1" spans="1:3" ht="17" x14ac:dyDescent="0.2">
      <c r="A1" s="1" t="s">
        <v>0</v>
      </c>
      <c r="B1" s="2" t="s">
        <v>1</v>
      </c>
      <c r="C1" s="2" t="s">
        <v>2</v>
      </c>
    </row>
    <row r="2" spans="1:3" ht="17" x14ac:dyDescent="0.2">
      <c r="A2" s="3" t="s">
        <v>3</v>
      </c>
      <c r="B2" s="5">
        <v>17.899999999999999</v>
      </c>
      <c r="C2" s="4">
        <v>2200</v>
      </c>
    </row>
    <row r="3" spans="1:3" ht="17" x14ac:dyDescent="0.2">
      <c r="A3" s="3" t="s">
        <v>4</v>
      </c>
      <c r="B3" s="5">
        <v>16.2</v>
      </c>
      <c r="C3" s="4">
        <v>6350</v>
      </c>
    </row>
    <row r="4" spans="1:3" ht="34" x14ac:dyDescent="0.2">
      <c r="A4" s="3" t="s">
        <v>5</v>
      </c>
      <c r="B4" s="5">
        <v>15</v>
      </c>
      <c r="C4" s="4">
        <v>8470</v>
      </c>
    </row>
    <row r="5" spans="1:3" ht="17" x14ac:dyDescent="0.2">
      <c r="A5" s="3" t="s">
        <v>6</v>
      </c>
      <c r="B5" s="5">
        <v>16</v>
      </c>
      <c r="C5" s="4">
        <v>6300</v>
      </c>
    </row>
    <row r="6" spans="1:3" ht="34" x14ac:dyDescent="0.2">
      <c r="A6" s="3" t="s">
        <v>7</v>
      </c>
      <c r="B6" s="5">
        <v>17.3</v>
      </c>
      <c r="C6" s="4">
        <v>4100</v>
      </c>
    </row>
    <row r="7" spans="1:3" ht="17" x14ac:dyDescent="0.2">
      <c r="A7" s="3" t="s">
        <v>8</v>
      </c>
      <c r="B7" s="5">
        <v>13.2</v>
      </c>
      <c r="C7" s="4">
        <v>8700</v>
      </c>
    </row>
    <row r="8" spans="1:3" ht="17" x14ac:dyDescent="0.2">
      <c r="A8" s="3" t="s">
        <v>9</v>
      </c>
      <c r="B8" s="5">
        <v>16.3</v>
      </c>
      <c r="C8" s="4">
        <v>6100</v>
      </c>
    </row>
    <row r="9" spans="1:3" ht="17" x14ac:dyDescent="0.2">
      <c r="A9" s="3" t="s">
        <v>10</v>
      </c>
      <c r="B9" s="5">
        <v>17.2</v>
      </c>
      <c r="C9" s="4">
        <v>2680</v>
      </c>
    </row>
    <row r="10" spans="1:3" ht="17" x14ac:dyDescent="0.2">
      <c r="A10" s="3" t="s">
        <v>11</v>
      </c>
      <c r="B10" s="5">
        <v>17.7</v>
      </c>
      <c r="C10" s="4">
        <v>3500</v>
      </c>
    </row>
    <row r="11" spans="1:3" ht="17" x14ac:dyDescent="0.2">
      <c r="A11" s="3" t="s">
        <v>12</v>
      </c>
      <c r="B11" s="5">
        <v>14.2</v>
      </c>
      <c r="C11" s="4">
        <v>8100</v>
      </c>
    </row>
    <row r="14" spans="1:3" x14ac:dyDescent="0.2">
      <c r="A14" t="s">
        <v>17</v>
      </c>
    </row>
    <row r="15" spans="1:3" ht="16" thickBot="1" x14ac:dyDescent="0.25"/>
    <row r="16" spans="1:3" x14ac:dyDescent="0.2">
      <c r="A16" s="9" t="s">
        <v>18</v>
      </c>
      <c r="B16" s="9"/>
    </row>
    <row r="17" spans="1:9" x14ac:dyDescent="0.2">
      <c r="A17" t="s">
        <v>19</v>
      </c>
      <c r="B17">
        <v>0.92936640796230618</v>
      </c>
    </row>
    <row r="18" spans="1:9" x14ac:dyDescent="0.2">
      <c r="A18" t="s">
        <v>20</v>
      </c>
      <c r="B18">
        <v>0.86372192024875982</v>
      </c>
    </row>
    <row r="19" spans="1:9" x14ac:dyDescent="0.2">
      <c r="A19" t="s">
        <v>21</v>
      </c>
      <c r="B19">
        <v>0.8466871602798548</v>
      </c>
    </row>
    <row r="20" spans="1:9" x14ac:dyDescent="0.2">
      <c r="A20" t="s">
        <v>22</v>
      </c>
      <c r="B20">
        <v>942.26605445983535</v>
      </c>
    </row>
    <row r="21" spans="1:9" ht="16" thickBot="1" x14ac:dyDescent="0.25">
      <c r="A21" s="7" t="s">
        <v>23</v>
      </c>
      <c r="B21" s="7">
        <v>10</v>
      </c>
    </row>
    <row r="23" spans="1:9" ht="16" thickBot="1" x14ac:dyDescent="0.25">
      <c r="A23" t="s">
        <v>24</v>
      </c>
    </row>
    <row r="24" spans="1:9" x14ac:dyDescent="0.2">
      <c r="A24" s="8"/>
      <c r="B24" s="8" t="s">
        <v>29</v>
      </c>
      <c r="C24" s="8" t="s">
        <v>30</v>
      </c>
      <c r="D24" s="8" t="s">
        <v>31</v>
      </c>
      <c r="E24" s="8" t="s">
        <v>32</v>
      </c>
      <c r="F24" s="8" t="s">
        <v>33</v>
      </c>
    </row>
    <row r="25" spans="1:9" x14ac:dyDescent="0.2">
      <c r="A25" t="s">
        <v>25</v>
      </c>
      <c r="B25">
        <v>1</v>
      </c>
      <c r="C25">
        <v>45017877.460901558</v>
      </c>
      <c r="D25">
        <v>45017877.460901558</v>
      </c>
      <c r="E25">
        <v>50.703498131196646</v>
      </c>
      <c r="F25">
        <v>9.993744731721318E-5</v>
      </c>
    </row>
    <row r="26" spans="1:9" x14ac:dyDescent="0.2">
      <c r="A26" t="s">
        <v>26</v>
      </c>
      <c r="B26">
        <v>8</v>
      </c>
      <c r="C26">
        <v>7102922.5390984435</v>
      </c>
      <c r="D26">
        <v>887865.31738730543</v>
      </c>
    </row>
    <row r="27" spans="1:9" ht="16" thickBot="1" x14ac:dyDescent="0.25">
      <c r="A27" s="7" t="s">
        <v>27</v>
      </c>
      <c r="B27" s="7">
        <v>9</v>
      </c>
      <c r="C27" s="7">
        <v>52120800</v>
      </c>
      <c r="D27" s="7"/>
      <c r="E27" s="7"/>
      <c r="F27" s="7"/>
    </row>
    <row r="28" spans="1:9" ht="16" thickBot="1" x14ac:dyDescent="0.25"/>
    <row r="29" spans="1:9" x14ac:dyDescent="0.2">
      <c r="A29" s="8"/>
      <c r="B29" s="8" t="s">
        <v>34</v>
      </c>
      <c r="C29" s="8" t="s">
        <v>22</v>
      </c>
      <c r="D29" s="8" t="s">
        <v>35</v>
      </c>
      <c r="E29" s="8" t="s">
        <v>36</v>
      </c>
      <c r="F29" s="8" t="s">
        <v>37</v>
      </c>
      <c r="G29" s="8" t="s">
        <v>38</v>
      </c>
      <c r="H29" s="8" t="s">
        <v>39</v>
      </c>
      <c r="I29" s="8" t="s">
        <v>40</v>
      </c>
    </row>
    <row r="30" spans="1:9" x14ac:dyDescent="0.2">
      <c r="A30" t="s">
        <v>28</v>
      </c>
      <c r="B30">
        <v>28818.003679852794</v>
      </c>
      <c r="C30">
        <v>3267.2568394339805</v>
      </c>
      <c r="D30">
        <v>8.8202443505620529</v>
      </c>
      <c r="E30">
        <v>2.1488842681232023E-5</v>
      </c>
      <c r="F30">
        <v>21283.69589734394</v>
      </c>
      <c r="G30">
        <v>36352.311462361649</v>
      </c>
      <c r="H30">
        <v>21283.69589734394</v>
      </c>
      <c r="I30">
        <v>36352.311462361649</v>
      </c>
    </row>
    <row r="31" spans="1:9" ht="16" thickBot="1" x14ac:dyDescent="0.25">
      <c r="A31" s="7" t="s">
        <v>41</v>
      </c>
      <c r="B31" s="7">
        <v>-1439.0064397424098</v>
      </c>
      <c r="C31" s="7">
        <v>202.08951232801849</v>
      </c>
      <c r="D31" s="7">
        <v>-7.1206388850437161</v>
      </c>
      <c r="E31" s="7">
        <v>9.9937447317213356E-5</v>
      </c>
      <c r="F31" s="7">
        <v>-1905.025690852214</v>
      </c>
      <c r="G31" s="7">
        <v>-972.98718863260569</v>
      </c>
      <c r="H31" s="7">
        <v>-1905.025690852214</v>
      </c>
      <c r="I31" s="7">
        <v>-972.98718863260569</v>
      </c>
    </row>
    <row r="35" spans="1:3" x14ac:dyDescent="0.2">
      <c r="A35" t="s">
        <v>42</v>
      </c>
    </row>
    <row r="36" spans="1:3" ht="16" thickBot="1" x14ac:dyDescent="0.25"/>
    <row r="37" spans="1:3" x14ac:dyDescent="0.2">
      <c r="A37" s="8" t="s">
        <v>43</v>
      </c>
      <c r="B37" s="8" t="s">
        <v>44</v>
      </c>
      <c r="C37" s="8" t="s">
        <v>45</v>
      </c>
    </row>
    <row r="38" spans="1:3" x14ac:dyDescent="0.2">
      <c r="A38">
        <v>1</v>
      </c>
      <c r="B38">
        <v>3059.7884084636603</v>
      </c>
      <c r="C38">
        <v>-859.78840846366029</v>
      </c>
    </row>
    <row r="39" spans="1:3" x14ac:dyDescent="0.2">
      <c r="A39">
        <v>2</v>
      </c>
      <c r="B39">
        <v>5506.0993560257557</v>
      </c>
      <c r="C39">
        <v>843.9006439742443</v>
      </c>
    </row>
    <row r="40" spans="1:3" x14ac:dyDescent="0.2">
      <c r="A40">
        <v>3</v>
      </c>
      <c r="B40">
        <v>7232.9070837166473</v>
      </c>
      <c r="C40">
        <v>1237.0929162833527</v>
      </c>
    </row>
    <row r="41" spans="1:3" x14ac:dyDescent="0.2">
      <c r="A41">
        <v>4</v>
      </c>
      <c r="B41">
        <v>5793.900643974237</v>
      </c>
      <c r="C41">
        <v>506.09935602576297</v>
      </c>
    </row>
    <row r="42" spans="1:3" x14ac:dyDescent="0.2">
      <c r="A42">
        <v>5</v>
      </c>
      <c r="B42">
        <v>3923.1922723091034</v>
      </c>
      <c r="C42">
        <v>176.80772769089663</v>
      </c>
    </row>
    <row r="43" spans="1:3" x14ac:dyDescent="0.2">
      <c r="A43">
        <v>6</v>
      </c>
      <c r="B43">
        <v>9823.1186752529848</v>
      </c>
      <c r="C43">
        <v>-1123.1186752529848</v>
      </c>
    </row>
    <row r="44" spans="1:3" x14ac:dyDescent="0.2">
      <c r="A44">
        <v>7</v>
      </c>
      <c r="B44">
        <v>5362.1987120515132</v>
      </c>
      <c r="C44">
        <v>737.80128794848679</v>
      </c>
    </row>
    <row r="45" spans="1:3" x14ac:dyDescent="0.2">
      <c r="A45">
        <v>8</v>
      </c>
      <c r="B45">
        <v>4067.0929162833463</v>
      </c>
      <c r="C45">
        <v>-1387.0929162833463</v>
      </c>
    </row>
    <row r="46" spans="1:3" x14ac:dyDescent="0.2">
      <c r="A46">
        <v>9</v>
      </c>
      <c r="B46">
        <v>3347.5896964121412</v>
      </c>
      <c r="C46">
        <v>152.41030358785883</v>
      </c>
    </row>
    <row r="47" spans="1:3" ht="16" thickBot="1" x14ac:dyDescent="0.25">
      <c r="A47" s="7">
        <v>10</v>
      </c>
      <c r="B47" s="7">
        <v>8384.1122355105763</v>
      </c>
      <c r="C47" s="7">
        <v>-284.11223551057628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66D47-E65E-4498-9EE8-FFD86BAB603D}">
  <dimension ref="A1:Z71"/>
  <sheetViews>
    <sheetView workbookViewId="0">
      <selection activeCell="V7" sqref="V7"/>
    </sheetView>
  </sheetViews>
  <sheetFormatPr baseColWidth="10" defaultColWidth="8.83203125" defaultRowHeight="15" x14ac:dyDescent="0.2"/>
  <sheetData>
    <row r="1" spans="1:26" ht="34" x14ac:dyDescent="0.2">
      <c r="A1" s="2" t="s">
        <v>13</v>
      </c>
      <c r="B1" s="2" t="s">
        <v>14</v>
      </c>
      <c r="C1" s="2" t="s">
        <v>15</v>
      </c>
      <c r="D1" s="2" t="s">
        <v>16</v>
      </c>
    </row>
    <row r="2" spans="1:26" ht="16" x14ac:dyDescent="0.2">
      <c r="A2" s="6">
        <v>12</v>
      </c>
      <c r="B2" s="6">
        <v>57</v>
      </c>
      <c r="C2" s="6">
        <v>152</v>
      </c>
      <c r="D2" s="6">
        <v>0</v>
      </c>
    </row>
    <row r="3" spans="1:26" ht="16" x14ac:dyDescent="0.2">
      <c r="A3" s="6">
        <v>24</v>
      </c>
      <c r="B3" s="6">
        <v>67</v>
      </c>
      <c r="C3" s="6">
        <v>163</v>
      </c>
      <c r="D3" s="6">
        <v>0</v>
      </c>
    </row>
    <row r="4" spans="1:26" ht="16" x14ac:dyDescent="0.2">
      <c r="A4" s="6">
        <v>13</v>
      </c>
      <c r="B4" s="6">
        <v>58</v>
      </c>
      <c r="C4" s="6">
        <v>155</v>
      </c>
      <c r="D4" s="6">
        <v>0</v>
      </c>
    </row>
    <row r="5" spans="1:26" ht="16" x14ac:dyDescent="0.2">
      <c r="A5" s="6">
        <v>56</v>
      </c>
      <c r="B5" s="6">
        <v>86</v>
      </c>
      <c r="C5" s="6">
        <v>177</v>
      </c>
      <c r="D5" s="6">
        <v>1</v>
      </c>
    </row>
    <row r="6" spans="1:26" ht="16" x14ac:dyDescent="0.2">
      <c r="A6" s="6">
        <v>28</v>
      </c>
      <c r="B6" s="6">
        <v>59</v>
      </c>
      <c r="C6" s="6">
        <v>196</v>
      </c>
      <c r="D6" s="6">
        <v>0</v>
      </c>
      <c r="V6">
        <f>TDIST(2.82, 16, 2)</f>
        <v>1.2322021626443382E-2</v>
      </c>
    </row>
    <row r="7" spans="1:26" ht="16" x14ac:dyDescent="0.2">
      <c r="A7" s="6">
        <v>51</v>
      </c>
      <c r="B7" s="6">
        <v>76</v>
      </c>
      <c r="C7" s="6">
        <v>189</v>
      </c>
      <c r="D7" s="6">
        <v>1</v>
      </c>
    </row>
    <row r="8" spans="1:26" ht="16" x14ac:dyDescent="0.2">
      <c r="A8" s="6">
        <v>18</v>
      </c>
      <c r="B8" s="6">
        <v>56</v>
      </c>
      <c r="C8" s="6">
        <v>155</v>
      </c>
      <c r="D8" s="6">
        <v>1</v>
      </c>
    </row>
    <row r="9" spans="1:26" ht="16" x14ac:dyDescent="0.2">
      <c r="A9" s="6">
        <v>31</v>
      </c>
      <c r="B9" s="6">
        <v>78</v>
      </c>
      <c r="C9" s="6">
        <v>120</v>
      </c>
      <c r="D9" s="6">
        <v>0</v>
      </c>
    </row>
    <row r="10" spans="1:26" ht="16" x14ac:dyDescent="0.2">
      <c r="A10" s="6">
        <v>37</v>
      </c>
      <c r="B10" s="6">
        <v>80</v>
      </c>
      <c r="C10" s="6">
        <v>135</v>
      </c>
      <c r="D10" s="6">
        <v>1</v>
      </c>
      <c r="Z10">
        <f>(-91.76)+(1.08*68)+(0.25*175)+(8.74*1)</f>
        <v>34.169999999999995</v>
      </c>
    </row>
    <row r="11" spans="1:26" ht="16" x14ac:dyDescent="0.2">
      <c r="A11" s="6">
        <v>15</v>
      </c>
      <c r="B11" s="6">
        <v>78</v>
      </c>
      <c r="C11" s="6">
        <v>98</v>
      </c>
      <c r="D11" s="6">
        <v>0</v>
      </c>
    </row>
    <row r="12" spans="1:26" ht="16" x14ac:dyDescent="0.2">
      <c r="A12" s="6">
        <v>22</v>
      </c>
      <c r="B12" s="6">
        <v>71</v>
      </c>
      <c r="C12" s="6">
        <v>152</v>
      </c>
      <c r="D12" s="6">
        <v>0</v>
      </c>
    </row>
    <row r="13" spans="1:26" ht="16" x14ac:dyDescent="0.2">
      <c r="A13" s="6">
        <v>36</v>
      </c>
      <c r="B13" s="6">
        <v>70</v>
      </c>
      <c r="C13" s="6">
        <v>173</v>
      </c>
      <c r="D13" s="6">
        <v>1</v>
      </c>
    </row>
    <row r="14" spans="1:26" ht="16" x14ac:dyDescent="0.2">
      <c r="A14" s="6">
        <v>15</v>
      </c>
      <c r="B14" s="6">
        <v>67</v>
      </c>
      <c r="C14" s="6">
        <v>135</v>
      </c>
      <c r="D14" s="6">
        <v>1</v>
      </c>
    </row>
    <row r="15" spans="1:26" ht="16" x14ac:dyDescent="0.2">
      <c r="A15" s="6">
        <v>48</v>
      </c>
      <c r="B15" s="6">
        <v>77</v>
      </c>
      <c r="C15" s="6">
        <v>209</v>
      </c>
      <c r="D15" s="6">
        <v>1</v>
      </c>
    </row>
    <row r="16" spans="1:26" ht="16" x14ac:dyDescent="0.2">
      <c r="A16" s="6">
        <v>15</v>
      </c>
      <c r="B16" s="6">
        <v>60</v>
      </c>
      <c r="C16" s="6">
        <v>199</v>
      </c>
      <c r="D16" s="6">
        <v>0</v>
      </c>
    </row>
    <row r="17" spans="1:4" ht="16" x14ac:dyDescent="0.2">
      <c r="A17" s="6">
        <v>36</v>
      </c>
      <c r="B17" s="6">
        <v>82</v>
      </c>
      <c r="C17" s="6">
        <v>119</v>
      </c>
      <c r="D17" s="6">
        <v>1</v>
      </c>
    </row>
    <row r="18" spans="1:4" ht="16" x14ac:dyDescent="0.2">
      <c r="A18" s="6">
        <v>8</v>
      </c>
      <c r="B18" s="6">
        <v>66</v>
      </c>
      <c r="C18" s="6">
        <v>166</v>
      </c>
      <c r="D18" s="6">
        <v>0</v>
      </c>
    </row>
    <row r="19" spans="1:4" ht="16" x14ac:dyDescent="0.2">
      <c r="A19" s="6">
        <v>34</v>
      </c>
      <c r="B19" s="6">
        <v>80</v>
      </c>
      <c r="C19" s="6">
        <v>125</v>
      </c>
      <c r="D19" s="6">
        <v>1</v>
      </c>
    </row>
    <row r="20" spans="1:4" ht="16" x14ac:dyDescent="0.2">
      <c r="A20" s="6">
        <v>3</v>
      </c>
      <c r="B20" s="6">
        <v>62</v>
      </c>
      <c r="C20" s="6">
        <v>117</v>
      </c>
      <c r="D20" s="6">
        <v>0</v>
      </c>
    </row>
    <row r="21" spans="1:4" ht="16" x14ac:dyDescent="0.2">
      <c r="A21" s="6">
        <v>37</v>
      </c>
      <c r="B21" s="6">
        <v>59</v>
      </c>
      <c r="C21" s="6">
        <v>207</v>
      </c>
      <c r="D21" s="6">
        <v>1</v>
      </c>
    </row>
    <row r="26" spans="1:4" x14ac:dyDescent="0.2">
      <c r="A26" t="s">
        <v>17</v>
      </c>
    </row>
    <row r="27" spans="1:4" ht="16" thickBot="1" x14ac:dyDescent="0.25"/>
    <row r="28" spans="1:4" x14ac:dyDescent="0.2">
      <c r="A28" s="9" t="s">
        <v>18</v>
      </c>
      <c r="B28" s="9"/>
    </row>
    <row r="29" spans="1:4" x14ac:dyDescent="0.2">
      <c r="A29" t="s">
        <v>19</v>
      </c>
      <c r="B29">
        <v>0.93460516798461302</v>
      </c>
    </row>
    <row r="30" spans="1:4" x14ac:dyDescent="0.2">
      <c r="A30" t="s">
        <v>20</v>
      </c>
      <c r="B30">
        <v>0.87348682002354672</v>
      </c>
    </row>
    <row r="31" spans="1:4" x14ac:dyDescent="0.2">
      <c r="A31" t="s">
        <v>21</v>
      </c>
      <c r="B31">
        <v>0.84976559877796176</v>
      </c>
    </row>
    <row r="32" spans="1:4" x14ac:dyDescent="0.2">
      <c r="A32" t="s">
        <v>22</v>
      </c>
      <c r="B32">
        <v>5.7565745653465479</v>
      </c>
    </row>
    <row r="33" spans="1:9" ht="16" thickBot="1" x14ac:dyDescent="0.25">
      <c r="A33" s="7" t="s">
        <v>23</v>
      </c>
      <c r="B33" s="7">
        <v>20</v>
      </c>
    </row>
    <row r="35" spans="1:9" ht="16" thickBot="1" x14ac:dyDescent="0.25">
      <c r="A35" t="s">
        <v>24</v>
      </c>
    </row>
    <row r="36" spans="1:9" x14ac:dyDescent="0.2">
      <c r="A36" s="8"/>
      <c r="B36" s="8" t="s">
        <v>29</v>
      </c>
      <c r="C36" s="8" t="s">
        <v>30</v>
      </c>
      <c r="D36" s="8" t="s">
        <v>31</v>
      </c>
      <c r="E36" s="8" t="s">
        <v>32</v>
      </c>
      <c r="F36" s="8" t="s">
        <v>33</v>
      </c>
    </row>
    <row r="37" spans="1:9" x14ac:dyDescent="0.2">
      <c r="A37" t="s">
        <v>25</v>
      </c>
      <c r="B37">
        <v>3</v>
      </c>
      <c r="C37">
        <v>3660.739588377683</v>
      </c>
      <c r="D37">
        <v>1220.2465294592278</v>
      </c>
      <c r="E37">
        <v>36.823012229445013</v>
      </c>
      <c r="F37">
        <v>2.0640386888860177E-7</v>
      </c>
    </row>
    <row r="38" spans="1:9" x14ac:dyDescent="0.2">
      <c r="A38" t="s">
        <v>26</v>
      </c>
      <c r="B38">
        <v>16</v>
      </c>
      <c r="C38">
        <v>530.21041162231677</v>
      </c>
      <c r="D38">
        <v>33.138150726394798</v>
      </c>
    </row>
    <row r="39" spans="1:9" ht="16" thickBot="1" x14ac:dyDescent="0.25">
      <c r="A39" s="7" t="s">
        <v>27</v>
      </c>
      <c r="B39" s="7">
        <v>19</v>
      </c>
      <c r="C39" s="7">
        <v>4190.95</v>
      </c>
      <c r="D39" s="7"/>
      <c r="E39" s="7"/>
      <c r="F39" s="7"/>
    </row>
    <row r="40" spans="1:9" ht="16" thickBot="1" x14ac:dyDescent="0.25"/>
    <row r="41" spans="1:9" x14ac:dyDescent="0.2">
      <c r="A41" s="8"/>
      <c r="B41" s="8" t="s">
        <v>34</v>
      </c>
      <c r="C41" s="8" t="s">
        <v>22</v>
      </c>
      <c r="D41" s="8" t="s">
        <v>35</v>
      </c>
      <c r="E41" s="8" t="s">
        <v>36</v>
      </c>
      <c r="F41" s="8" t="s">
        <v>37</v>
      </c>
      <c r="G41" s="8" t="s">
        <v>38</v>
      </c>
      <c r="H41" s="8" t="s">
        <v>39</v>
      </c>
      <c r="I41" s="8" t="s">
        <v>40</v>
      </c>
    </row>
    <row r="42" spans="1:9" x14ac:dyDescent="0.2">
      <c r="A42" t="s">
        <v>28</v>
      </c>
      <c r="B42">
        <v>-91.759498439183417</v>
      </c>
      <c r="C42">
        <v>15.222760086912302</v>
      </c>
      <c r="D42">
        <v>-6.0277832610705877</v>
      </c>
      <c r="E42">
        <v>1.7575547338428511E-5</v>
      </c>
      <c r="F42">
        <v>-124.03030821620261</v>
      </c>
      <c r="G42">
        <v>-59.488688662164215</v>
      </c>
      <c r="H42">
        <v>-124.03030821620261</v>
      </c>
      <c r="I42">
        <v>-59.488688662164215</v>
      </c>
    </row>
    <row r="43" spans="1:9" x14ac:dyDescent="0.2">
      <c r="A43" t="s">
        <v>41</v>
      </c>
      <c r="B43">
        <v>1.0767410565882536</v>
      </c>
      <c r="C43">
        <v>0.16596361065769719</v>
      </c>
      <c r="D43">
        <v>6.4878141197412882</v>
      </c>
      <c r="E43">
        <v>7.4873018716307515E-6</v>
      </c>
      <c r="F43">
        <v>0.72491391887710821</v>
      </c>
      <c r="G43">
        <v>1.4285681942993991</v>
      </c>
      <c r="H43">
        <v>0.72491391887710821</v>
      </c>
      <c r="I43">
        <v>1.4285681942993991</v>
      </c>
    </row>
    <row r="44" spans="1:9" x14ac:dyDescent="0.2">
      <c r="A44" t="s">
        <v>46</v>
      </c>
      <c r="B44">
        <v>0.25181347250984182</v>
      </c>
      <c r="C44">
        <v>4.522551858841841E-2</v>
      </c>
      <c r="D44">
        <v>5.5679510234367449</v>
      </c>
      <c r="E44">
        <v>4.2436645744485185E-5</v>
      </c>
      <c r="F44">
        <v>0.15593965599422427</v>
      </c>
      <c r="G44">
        <v>0.34768728902545937</v>
      </c>
      <c r="H44">
        <v>0.15593965599422427</v>
      </c>
      <c r="I44">
        <v>0.34768728902545937</v>
      </c>
    </row>
    <row r="45" spans="1:9" ht="16" thickBot="1" x14ac:dyDescent="0.25">
      <c r="A45" s="7" t="s">
        <v>47</v>
      </c>
      <c r="B45" s="7">
        <v>8.7398710556661214</v>
      </c>
      <c r="C45" s="7">
        <v>3.0008154320476264</v>
      </c>
      <c r="D45" s="7">
        <v>2.9124987036281711</v>
      </c>
      <c r="E45" s="7">
        <v>1.0173552972923574E-2</v>
      </c>
      <c r="F45" s="7">
        <v>2.3784265192834382</v>
      </c>
      <c r="G45" s="7">
        <v>15.101315592048804</v>
      </c>
      <c r="H45" s="7">
        <v>2.3784265192834382</v>
      </c>
      <c r="I45" s="7">
        <v>15.101315592048804</v>
      </c>
    </row>
    <row r="49" spans="1:3" x14ac:dyDescent="0.2">
      <c r="A49" t="s">
        <v>42</v>
      </c>
    </row>
    <row r="50" spans="1:3" ht="16" thickBot="1" x14ac:dyDescent="0.25"/>
    <row r="51" spans="1:3" x14ac:dyDescent="0.2">
      <c r="A51" s="8" t="s">
        <v>43</v>
      </c>
      <c r="B51" s="8" t="s">
        <v>44</v>
      </c>
      <c r="C51" s="8" t="s">
        <v>45</v>
      </c>
    </row>
    <row r="52" spans="1:3" x14ac:dyDescent="0.2">
      <c r="A52">
        <v>1</v>
      </c>
      <c r="B52">
        <v>7.8903896078429927</v>
      </c>
      <c r="C52">
        <v>4.1096103921570073</v>
      </c>
    </row>
    <row r="53" spans="1:3" x14ac:dyDescent="0.2">
      <c r="A53">
        <v>2</v>
      </c>
      <c r="B53">
        <v>21.427748371333788</v>
      </c>
      <c r="C53">
        <v>2.572251628666212</v>
      </c>
    </row>
    <row r="54" spans="1:3" x14ac:dyDescent="0.2">
      <c r="A54">
        <v>3</v>
      </c>
      <c r="B54">
        <v>9.7225710819607727</v>
      </c>
      <c r="C54">
        <v>3.2774289180392273</v>
      </c>
    </row>
    <row r="55" spans="1:3" x14ac:dyDescent="0.2">
      <c r="A55">
        <v>4</v>
      </c>
      <c r="B55">
        <v>54.151088117314515</v>
      </c>
      <c r="C55">
        <v>1.8489118826854849</v>
      </c>
    </row>
    <row r="56" spans="1:3" x14ac:dyDescent="0.2">
      <c r="A56">
        <v>5</v>
      </c>
      <c r="B56">
        <v>21.123664511452542</v>
      </c>
      <c r="C56">
        <v>6.8763354885474577</v>
      </c>
    </row>
    <row r="57" spans="1:3" x14ac:dyDescent="0.2">
      <c r="A57">
        <v>6</v>
      </c>
      <c r="B57">
        <v>46.405439221550083</v>
      </c>
      <c r="C57">
        <v>4.5945607784499174</v>
      </c>
    </row>
    <row r="58" spans="1:3" x14ac:dyDescent="0.2">
      <c r="A58">
        <v>7</v>
      </c>
      <c r="B58">
        <v>16.308960024450389</v>
      </c>
      <c r="C58">
        <v>1.6910399755496108</v>
      </c>
    </row>
    <row r="59" spans="1:3" x14ac:dyDescent="0.2">
      <c r="A59">
        <v>8</v>
      </c>
      <c r="B59">
        <v>22.44392067588138</v>
      </c>
      <c r="C59">
        <v>8.5560793241186204</v>
      </c>
    </row>
    <row r="60" spans="1:3" x14ac:dyDescent="0.2">
      <c r="A60">
        <v>9</v>
      </c>
      <c r="B60">
        <v>37.114475932371633</v>
      </c>
      <c r="C60">
        <v>-0.11447593237163289</v>
      </c>
    </row>
    <row r="61" spans="1:3" x14ac:dyDescent="0.2">
      <c r="A61">
        <v>10</v>
      </c>
      <c r="B61">
        <v>16.90402428066486</v>
      </c>
      <c r="C61">
        <v>-1.90402428066486</v>
      </c>
    </row>
    <row r="62" spans="1:3" x14ac:dyDescent="0.2">
      <c r="A62">
        <v>11</v>
      </c>
      <c r="B62">
        <v>22.964764400078543</v>
      </c>
      <c r="C62">
        <v>-0.96476440007854336</v>
      </c>
    </row>
    <row r="63" spans="1:3" x14ac:dyDescent="0.2">
      <c r="A63">
        <v>12</v>
      </c>
      <c r="B63">
        <v>35.915977321863089</v>
      </c>
      <c r="C63">
        <v>8.4022678136911111E-2</v>
      </c>
    </row>
    <row r="64" spans="1:3" x14ac:dyDescent="0.2">
      <c r="A64">
        <v>13</v>
      </c>
      <c r="B64">
        <v>23.116842196724338</v>
      </c>
      <c r="C64">
        <v>-8.1168421967243383</v>
      </c>
    </row>
    <row r="65" spans="1:3" x14ac:dyDescent="0.2">
      <c r="A65">
        <v>14</v>
      </c>
      <c r="B65">
        <v>52.51844972833517</v>
      </c>
      <c r="C65">
        <v>-4.5184497283351703</v>
      </c>
    </row>
    <row r="66" spans="1:3" x14ac:dyDescent="0.2">
      <c r="A66">
        <v>15</v>
      </c>
      <c r="B66">
        <v>22.955845985570321</v>
      </c>
      <c r="C66">
        <v>-7.9558459855703205</v>
      </c>
    </row>
    <row r="67" spans="1:3" x14ac:dyDescent="0.2">
      <c r="A67">
        <v>16</v>
      </c>
      <c r="B67">
        <v>35.238942485390673</v>
      </c>
      <c r="C67">
        <v>0.7610575146093268</v>
      </c>
    </row>
    <row r="68" spans="1:3" x14ac:dyDescent="0.2">
      <c r="A68">
        <v>17</v>
      </c>
      <c r="B68">
        <v>21.106447732275061</v>
      </c>
      <c r="C68">
        <v>-13.106447732275061</v>
      </c>
    </row>
    <row r="69" spans="1:3" x14ac:dyDescent="0.2">
      <c r="A69">
        <v>18</v>
      </c>
      <c r="B69">
        <v>34.59634120727322</v>
      </c>
      <c r="C69">
        <v>-0.59634120727321971</v>
      </c>
    </row>
    <row r="70" spans="1:3" x14ac:dyDescent="0.2">
      <c r="A70">
        <v>19</v>
      </c>
      <c r="B70">
        <v>4.4606233529397965</v>
      </c>
      <c r="C70">
        <v>-1.4606233529397965</v>
      </c>
    </row>
    <row r="71" spans="1:3" ht="16" thickBot="1" x14ac:dyDescent="0.25">
      <c r="A71" s="7">
        <v>20</v>
      </c>
      <c r="B71" s="7">
        <v>32.633483764726918</v>
      </c>
      <c r="C71" s="7">
        <v>4.3665162352730817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Question 1</vt:lpstr>
      <vt:lpstr>Question 2</vt:lpstr>
    </vt:vector>
  </TitlesOfParts>
  <Company>Hamline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 Beverly</dc:creator>
  <cp:lastModifiedBy>Boden Strafelda</cp:lastModifiedBy>
  <dcterms:created xsi:type="dcterms:W3CDTF">2023-10-16T18:06:45Z</dcterms:created>
  <dcterms:modified xsi:type="dcterms:W3CDTF">2024-11-18T02:17:24Z</dcterms:modified>
</cp:coreProperties>
</file>